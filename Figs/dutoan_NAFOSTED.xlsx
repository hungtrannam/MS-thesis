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20" activeTab="1"/>
  </bookViews>
  <sheets>
    <sheet name="Sheet1" sheetId="1" r:id="rId1"/>
    <sheet name="1.Thulaothamgia_ĐT_36thang" sheetId="5" r:id="rId2"/>
    <sheet name="2.Vattu_Nguyenvatlieu" sheetId="2" r:id="rId3"/>
    <sheet name="4, HThaoKH_CTP_HTQT" sheetId="3" r:id="rId4"/>
    <sheet name="5.DVthuengoai" sheetId="4" r:id="rId5"/>
    <sheet name="Sheet6" sheetId="6" r:id="rId6"/>
  </sheets>
  <calcPr calcId="144525"/>
</workbook>
</file>

<file path=xl/comments1.xml><?xml version="1.0" encoding="utf-8"?>
<comments xmlns="http://schemas.openxmlformats.org/spreadsheetml/2006/main">
  <authors>
    <author>Author</author>
  </authors>
  <commentList>
    <comment ref="E4" authorId="0">
      <text>
        <r>
          <rPr>
            <b/>
            <sz val="9"/>
            <rFont val="Tahoma"/>
            <charset val="0"/>
          </rPr>
          <t>Author:</t>
        </r>
        <r>
          <rPr>
            <sz val="9"/>
            <rFont val="Tahoma"/>
            <charset val="0"/>
          </rPr>
          <t xml:space="preserve">
Định mức thù lao tháng của chủ nhiệm nhiệm vụ không quá 40 triệu đồng/người/tháng</t>
        </r>
      </text>
    </comment>
  </commentList>
</comments>
</file>

<file path=xl/comments2.xml><?xml version="1.0" encoding="utf-8"?>
<comments xmlns="http://schemas.openxmlformats.org/spreadsheetml/2006/main">
  <authors>
    <author>Author</author>
  </authors>
  <commentList>
    <comment ref="A2" authorId="0">
      <text>
        <r>
          <rPr>
            <b/>
            <sz val="9"/>
            <rFont val="Tahoma"/>
            <charset val="0"/>
          </rPr>
          <t>Author:</t>
        </r>
        <r>
          <rPr>
            <sz val="9"/>
            <rFont val="Tahoma"/>
            <charset val="0"/>
          </rPr>
          <t xml:space="preserve">
Nếu tổ chức nhiều Hội nghị, hội thảo, tọa đàm khác nhau thì dự toán chi tiết cho từng hội nghị/hội thảo/tọa đàm</t>
        </r>
      </text>
    </comment>
  </commentList>
</comments>
</file>

<file path=xl/comments3.xml><?xml version="1.0" encoding="utf-8"?>
<comments xmlns="http://schemas.openxmlformats.org/spreadsheetml/2006/main">
  <authors>
    <author>Author</author>
  </authors>
  <commentList>
    <comment ref="E4" authorId="0">
      <text>
        <r>
          <rPr>
            <b/>
            <sz val="9"/>
            <rFont val="Tahoma"/>
            <charset val="0"/>
          </rPr>
          <t>Author:</t>
        </r>
        <r>
          <rPr>
            <sz val="9"/>
            <rFont val="Tahoma"/>
            <charset val="0"/>
          </rPr>
          <t xml:space="preserve">
Định mức thù lao tháng của chủ nhiệm nhiệm vụ không quá 40 triệu đồng/người/tháng</t>
        </r>
      </text>
    </comment>
  </commentList>
</comments>
</file>

<file path=xl/sharedStrings.xml><?xml version="1.0" encoding="utf-8"?>
<sst xmlns="http://schemas.openxmlformats.org/spreadsheetml/2006/main" count="680" uniqueCount="286">
  <si>
    <t>Mục chi</t>
  </si>
  <si>
    <t>Đơn vị tính</t>
  </si>
  <si>
    <t>Số lượng</t>
  </si>
  <si>
    <t>Đơn giá (VNĐ)</t>
  </si>
  <si>
    <t>Thành tiền (VNĐ)</t>
  </si>
  <si>
    <t>Ghi chú</t>
  </si>
  <si>
    <t>I. Chi phí trực tiếp</t>
  </si>
  <si>
    <t>1. Tiền công lao động khoa học</t>
  </si>
  <si>
    <t>Chủ nhiệm đề tài</t>
  </si>
  <si>
    <t>Tháng</t>
  </si>
  <si>
    <t>≤42 triệu/tháng</t>
  </si>
  <si>
    <t>Thành viên chính</t>
  </si>
  <si>
    <t>≤80% chủ nhiệm</t>
  </si>
  <si>
    <t>Kỹ thuật viên hỗ trợ</t>
  </si>
  <si>
    <t>≤20% tổng tiền công lực lượng chính</t>
  </si>
  <si>
    <t>2. Nguyên vật liệu</t>
  </si>
  <si>
    <t>Giống lúa chất lượng cao (SRP, 1P5G)</t>
  </si>
  <si>
    <t>Kg</t>
  </si>
  <si>
    <t>Phân Urea</t>
  </si>
  <si>
    <t>Bao (50kg)</t>
  </si>
  <si>
    <t>Phân super lân</t>
  </si>
  <si>
    <t>Phân KCl</t>
  </si>
  <si>
    <t>Phân DAP</t>
  </si>
  <si>
    <t>Vôi bột cải tạo đất</t>
  </si>
  <si>
    <t>Bao (1T)</t>
  </si>
  <si>
    <t>Dữ liệu ảnh vệ tinh (Landsat, Sentinel-2)</t>
  </si>
  <si>
    <t>Hình ảnh</t>
  </si>
  <si>
    <t>Phần mềm GIS xử lý ảnh viễn thám</t>
  </si>
  <si>
    <t>Phần mềm</t>
  </si>
  <si>
    <t>Bộ kit hiệu chuẩn cảm biến (Bình CH4)</t>
  </si>
  <si>
    <t>Bộ</t>
  </si>
  <si>
    <t>Thuê 0.5ha đất</t>
  </si>
  <si>
    <t>Vụ</t>
  </si>
  <si>
    <t>Dụng cụ thí nghiệm nhỏ</t>
  </si>
  <si>
    <t>Bộ lưu mẫu và bảo quản mẫu</t>
  </si>
  <si>
    <t>3. Thiết bị, dụng cụ</t>
  </si>
  <si>
    <t>Van điều chỉnh nước</t>
  </si>
  <si>
    <t>Van</t>
  </si>
  <si>
    <t>Bơm nước điện năng lượng mặt trời</t>
  </si>
  <si>
    <t>Bộ điều khiển bơm tự động</t>
  </si>
  <si>
    <t>Bộ phát hiện sự cố bơm nước</t>
  </si>
  <si>
    <t>Tấm pin năng lượng mặt trời</t>
  </si>
  <si>
    <t>Tấm</t>
  </si>
  <si>
    <t>Ắc quy lưu trữ điện</t>
  </si>
  <si>
    <t>Bình</t>
  </si>
  <si>
    <t>Cảm biến mực nước</t>
  </si>
  <si>
    <t>Cái</t>
  </si>
  <si>
    <t>Cảm biến độ ẩm đất</t>
  </si>
  <si>
    <t>Cảm biến nhiệt độ không khí</t>
  </si>
  <si>
    <t>Bộ phát sóng IoT</t>
  </si>
  <si>
    <t>Module kết nối mạng 4G</t>
  </si>
  <si>
    <t>Mô-đun</t>
  </si>
  <si>
    <t>Buồng kín đo CH₄</t>
  </si>
  <si>
    <t>Buồng</t>
  </si>
  <si>
    <t>Cảm biến CH₄ NDIR (MH-440D)</t>
  </si>
  <si>
    <t>Camera giám sát</t>
  </si>
  <si>
    <t>Thiết bị đo EC, pH nước</t>
  </si>
  <si>
    <t>Thiết bị đo độ mặn đất</t>
  </si>
  <si>
    <t>Tấm pin sạc dự phòng</t>
  </si>
  <si>
    <t>Bộ phân tích mẫu đất (kit thử nhanh N,P,K)</t>
  </si>
  <si>
    <t>Dụng cụ lấy mẫu nước</t>
  </si>
  <si>
    <t>Dụng cụ lấy mẫu khí</t>
  </si>
  <si>
    <t>Bộ kit bảo trì cảm biến</t>
  </si>
  <si>
    <t>Dụng cụ lấy mẫu đất</t>
  </si>
  <si>
    <t>Ổ cứng di động / ổ SSD lưu dữ liệu dự phòng</t>
  </si>
  <si>
    <t>Hạ tầng lưu trữ dữ liệu số</t>
  </si>
  <si>
    <t>Server</t>
  </si>
  <si>
    <t>Theo TT 40/2017, TT 102/2012</t>
  </si>
  <si>
    <t>Hội thảo chuyên đề (trong nước)</t>
  </si>
  <si>
    <t>Chuyến 5 người</t>
  </si>
  <si>
    <t>Tham dự hội nghị khoa học quốc tế</t>
  </si>
  <si>
    <t>Khảo sát, lấy mẫu</t>
  </si>
  <si>
    <t>Chuyến 7 người</t>
  </si>
  <si>
    <t>Hướng dẫn kỹ thuật</t>
  </si>
  <si>
    <t>Chuyến</t>
  </si>
  <si>
    <t>Tập huấn cho nông dân</t>
  </si>
  <si>
    <t>5. Dịch vụ thuê ngoài</t>
  </si>
  <si>
    <t>Thuê nông dân</t>
  </si>
  <si>
    <t>7. Văn phòng phẩm, in ấn</t>
  </si>
  <si>
    <t>Photocopy tài liệu tập huấn, ấn phẩm truyền thông</t>
  </si>
  <si>
    <t>Lần</t>
  </si>
  <si>
    <t>8. Hội thảo, hội đồng đánh giá, nghiệm thu</t>
  </si>
  <si>
    <t>Chủ trì, ủy viên, thư ký, báo cáo viên</t>
  </si>
  <si>
    <t>II. Chi phí gián tiếp (quản lý chung, tối đa 5%)</t>
  </si>
  <si>
    <t>khoản</t>
  </si>
  <si>
    <t>≤5% tổng chi trực tiếp, tối đa 300 triệu</t>
  </si>
  <si>
    <t>Tổng cộng</t>
  </si>
  <si>
    <t>I+II</t>
  </si>
  <si>
    <t>PHỤ LỤC CÁC KHOẢN CHI PHÍ</t>
  </si>
  <si>
    <t>1. Thù lao tham gia đề tài (được giao khoán):</t>
  </si>
  <si>
    <t>đồng, gồm các khoản:</t>
  </si>
  <si>
    <t>a) Thù lao cho các thành viên tham gia thực hiện đề tài</t>
  </si>
  <si>
    <t>Định mức thù lao tháng của chủ nhiệm (DMCN)</t>
  </si>
  <si>
    <t>đồng</t>
  </si>
  <si>
    <t>Số TT</t>
  </si>
  <si>
    <t>Nội dung công việc</t>
  </si>
  <si>
    <t>Hệ số lao động khoa học</t>
  </si>
  <si>
    <t>Số người trong nhóm chức danh</t>
  </si>
  <si>
    <r>
      <t>Định mức thù lao tháng của chủ nhiệm (DM</t>
    </r>
    <r>
      <rPr>
        <b/>
        <vertAlign val="subscript"/>
        <sz val="11"/>
        <color indexed="8"/>
        <rFont val="Times New Roman"/>
        <family val="1"/>
        <charset val="0"/>
      </rPr>
      <t>CN</t>
    </r>
    <r>
      <rPr>
        <b/>
        <sz val="11"/>
        <color indexed="8"/>
        <rFont val="Times New Roman"/>
        <family val="1"/>
        <charset val="0"/>
      </rPr>
      <t>)</t>
    </r>
  </si>
  <si>
    <t>Tổng số tháng quy đổi của chức danh/nhóm chức danh</t>
  </si>
  <si>
    <t>Tổng thù lao thực hiện nhiệm vụ</t>
  </si>
  <si>
    <t>7=3x5x6</t>
  </si>
  <si>
    <t>I</t>
  </si>
  <si>
    <t>Xây dựng thuyết minh nhiệm vụ</t>
  </si>
  <si>
    <t>Nội dung công việc này chủ nhiệm và thư ký khoa học của nhiệm vụ thực hiện, đã được tính trong thù lao của chủ nhiệm và thư ký khoa học, không tính thù lao riêng.</t>
  </si>
  <si>
    <t>II</t>
  </si>
  <si>
    <t>Nội dung nghiên cứu</t>
  </si>
  <si>
    <t>Nội dung 1:</t>
  </si>
  <si>
    <t>1.1</t>
  </si>
  <si>
    <t xml:space="preserve">Công việc 1.1: </t>
  </si>
  <si>
    <t>1.1.1</t>
  </si>
  <si>
    <t>Thù lao thành viên chính</t>
  </si>
  <si>
    <t>PGS.TS. Hà Thị Hằng</t>
  </si>
  <si>
    <t>1.1.2</t>
  </si>
  <si>
    <t>Thù lao nhóm thành viên</t>
  </si>
  <si>
    <t>TS. Nguyễn Hoàng Việt</t>
  </si>
  <si>
    <t>ThS. Phạm Văn Doanh</t>
  </si>
  <si>
    <t>1.2</t>
  </si>
  <si>
    <t>Công việc 1.2:</t>
  </si>
  <si>
    <t>1.2.1</t>
  </si>
  <si>
    <t>1.2.2</t>
  </si>
  <si>
    <t>TS. Trần Xuân Thông</t>
  </si>
  <si>
    <t>TS. Nguyễn Phương Lâm</t>
  </si>
  <si>
    <t xml:space="preserve">Nội dung 2: </t>
  </si>
  <si>
    <t>2.1</t>
  </si>
  <si>
    <t xml:space="preserve">Công việc 2.1: </t>
  </si>
  <si>
    <t>2.1.1</t>
  </si>
  <si>
    <t>2.1.2</t>
  </si>
  <si>
    <t>PGS.TS. Lưu Thị Diệu Chinh</t>
  </si>
  <si>
    <t>TS. Bùi Duy Quỳnh</t>
  </si>
  <si>
    <t>2.1.3</t>
  </si>
  <si>
    <t>Thù lao nhóm kỹ thuật viên, nhân viên hỗ trợ</t>
  </si>
  <si>
    <t>2.2</t>
  </si>
  <si>
    <t>Công việc 2.2:</t>
  </si>
  <si>
    <t>2.2.1</t>
  </si>
  <si>
    <t>2.2.2</t>
  </si>
  <si>
    <t>2.2.3</t>
  </si>
  <si>
    <t>Công việc 2.3:</t>
  </si>
  <si>
    <t>2.3.1</t>
  </si>
  <si>
    <t>2.3.2</t>
  </si>
  <si>
    <t>2.3.3</t>
  </si>
  <si>
    <t xml:space="preserve">Nội dung 3: </t>
  </si>
  <si>
    <t>Công việc 3.1:</t>
  </si>
  <si>
    <t>3.1.1</t>
  </si>
  <si>
    <t>3.1.2</t>
  </si>
  <si>
    <t>Công việc 3.2:</t>
  </si>
  <si>
    <t>3.2.1</t>
  </si>
  <si>
    <t>3.2.2</t>
  </si>
  <si>
    <t>3.2.3</t>
  </si>
  <si>
    <t xml:space="preserve">Công việc 3.3: </t>
  </si>
  <si>
    <t>3.3.1</t>
  </si>
  <si>
    <t>3.3.2</t>
  </si>
  <si>
    <t xml:space="preserve">Công việc 3.4: </t>
  </si>
  <si>
    <t>3.4.1</t>
  </si>
  <si>
    <t>3.4.2</t>
  </si>
  <si>
    <t xml:space="preserve">Công việc 3.5: </t>
  </si>
  <si>
    <t>3.5.1</t>
  </si>
  <si>
    <t>3.5.2</t>
  </si>
  <si>
    <t>3.5.3</t>
  </si>
  <si>
    <t xml:space="preserve">Nội dung 4: </t>
  </si>
  <si>
    <t xml:space="preserve">Công việc 4.1: </t>
  </si>
  <si>
    <t>4.1.1</t>
  </si>
  <si>
    <t>PGS. TS. Hà Thị Hằng</t>
  </si>
  <si>
    <t>4.1.2</t>
  </si>
  <si>
    <t xml:space="preserve">Công việc 4.2: </t>
  </si>
  <si>
    <t>4.2.1</t>
  </si>
  <si>
    <t>4.2.2</t>
  </si>
  <si>
    <t>Công việc 4.3:</t>
  </si>
  <si>
    <t>4.3.1</t>
  </si>
  <si>
    <t>4.3.2</t>
  </si>
  <si>
    <t>Nội dung 5:</t>
  </si>
  <si>
    <t xml:space="preserve">Công việc 5.1: </t>
  </si>
  <si>
    <t>5.1.1</t>
  </si>
  <si>
    <t>5.1.2</t>
  </si>
  <si>
    <t>Công việc 5.2:</t>
  </si>
  <si>
    <t>5.2.1</t>
  </si>
  <si>
    <t>5.2.2</t>
  </si>
  <si>
    <t>5.2.3</t>
  </si>
  <si>
    <t>Công việc 5.3</t>
  </si>
  <si>
    <t>5.3.1</t>
  </si>
  <si>
    <t>5.3.2</t>
  </si>
  <si>
    <t>5.3.3</t>
  </si>
  <si>
    <t>Công việc 5.4:</t>
  </si>
  <si>
    <t>5.4.1</t>
  </si>
  <si>
    <t>5.4.2</t>
  </si>
  <si>
    <t>Công việc 5.5:</t>
  </si>
  <si>
    <t>5.5.1</t>
  </si>
  <si>
    <t>5.5.2</t>
  </si>
  <si>
    <t>5.5.3</t>
  </si>
  <si>
    <t>Nội dung 6: Xây dựng nền tảng chia sẻ và liên kết giữa các đơn vị quản lý rủi ro thiên tai nhằm thực hiện hiệu quả các giải pháp phòng ngừa và ứng phó hiệu quả với rủi ro lũ lụt và trượt lở đất.</t>
  </si>
  <si>
    <t xml:space="preserve">Công việc 6.1: </t>
  </si>
  <si>
    <t>6.1.1</t>
  </si>
  <si>
    <t>PGS. TS. Lưu Thị Diệu Chinh</t>
  </si>
  <si>
    <t>6.1.2</t>
  </si>
  <si>
    <t>6.1.3</t>
  </si>
  <si>
    <t xml:space="preserve">Công việc 6.2: </t>
  </si>
  <si>
    <t>6.2.1</t>
  </si>
  <si>
    <t>6.2.2</t>
  </si>
  <si>
    <t xml:space="preserve">Công việc 6.3: </t>
  </si>
  <si>
    <t>6.3.1</t>
  </si>
  <si>
    <t>6.3.2</t>
  </si>
  <si>
    <t>6.3.3</t>
  </si>
  <si>
    <t>Công việc 6.4: Triển khai thử nghiệm và đánh giá hiệu quả nền tảng, đồng thời đào tạo, tập huấn cho cán bộ quản lý nhằm nâng cao năng lực vận hành và khai thác hệ thống.</t>
  </si>
  <si>
    <t>6.4.1</t>
  </si>
  <si>
    <t>6.4.2</t>
  </si>
  <si>
    <t>PGS. TS. Nguyễn Việt Phương</t>
  </si>
  <si>
    <t>6.4.3</t>
  </si>
  <si>
    <t>Công việc 6.5: Tổ chức đào tạo người dùng cuối về cách sử dụng nền tảng bản sao kỹ thuật số trong đánh giá, phân tích và chia sẻ thông tin rủi ro lũ lụt và trượt lở đất.</t>
  </si>
  <si>
    <t>6.5.1</t>
  </si>
  <si>
    <t>6.5.2</t>
  </si>
  <si>
    <t>6.5.3</t>
  </si>
  <si>
    <t>Thù lao của chủ nhiệm nhiệm vụ:</t>
  </si>
  <si>
    <r>
      <t>(TL</t>
    </r>
    <r>
      <rPr>
        <vertAlign val="subscript"/>
        <sz val="11"/>
        <color indexed="8"/>
        <rFont val="Times New Roman"/>
        <family val="1"/>
        <charset val="0"/>
      </rPr>
      <t>CN</t>
    </r>
    <r>
      <rPr>
        <sz val="11"/>
        <color indexed="8"/>
        <rFont val="Times New Roman"/>
        <family val="1"/>
        <charset val="0"/>
      </rPr>
      <t xml:space="preserve"> = 1,0 x DM</t>
    </r>
    <r>
      <rPr>
        <vertAlign val="subscript"/>
        <sz val="11"/>
        <color indexed="8"/>
        <rFont val="Times New Roman"/>
        <family val="1"/>
        <charset val="0"/>
      </rPr>
      <t>CN</t>
    </r>
    <r>
      <rPr>
        <sz val="11"/>
        <color indexed="8"/>
        <rFont val="Times New Roman"/>
        <family val="1"/>
        <charset val="0"/>
      </rPr>
      <t xml:space="preserve"> x 20% x T)</t>
    </r>
  </si>
  <si>
    <t>(=20% x 36)</t>
  </si>
  <si>
    <t>Thù lao của thư ký khoa học:</t>
  </si>
  <si>
    <r>
      <t>(TL</t>
    </r>
    <r>
      <rPr>
        <vertAlign val="subscript"/>
        <sz val="11"/>
        <color indexed="8"/>
        <rFont val="Times New Roman"/>
        <family val="1"/>
        <charset val="0"/>
      </rPr>
      <t>TK</t>
    </r>
    <r>
      <rPr>
        <sz val="11"/>
        <color indexed="8"/>
        <rFont val="Times New Roman"/>
        <family val="1"/>
        <charset val="0"/>
      </rPr>
      <t xml:space="preserve"> = 0,3 x DM</t>
    </r>
    <r>
      <rPr>
        <vertAlign val="subscript"/>
        <sz val="11"/>
        <color indexed="8"/>
        <rFont val="Times New Roman"/>
        <family val="1"/>
        <charset val="0"/>
      </rPr>
      <t>CN</t>
    </r>
    <r>
      <rPr>
        <sz val="11"/>
        <color indexed="8"/>
        <rFont val="Times New Roman"/>
        <family val="1"/>
        <charset val="0"/>
      </rPr>
      <t xml:space="preserve"> x 20% x T)</t>
    </r>
  </si>
  <si>
    <t>III</t>
  </si>
  <si>
    <t>Xây dựng báo cáo tổng kết</t>
  </si>
  <si>
    <t>Nội dung công việc này do chủ nhiệm và thư ký khoa học của nhiệm vụ thực hiện, đã được tính trong thù lao của chủ nhiệm và thư ký khoa học, không tính thù lao riêng.</t>
  </si>
  <si>
    <t>TỔNG CỘNG</t>
  </si>
  <si>
    <t>2. Vật tư, nguyên, nhiên vật liệu, dụng cụ:</t>
  </si>
  <si>
    <t>TT</t>
  </si>
  <si>
    <t>Tên vật tư, nguyên, nhiên vật liệu, dụng cụ</t>
  </si>
  <si>
    <t>Quy cách kỹ thuật, đóng gói</t>
  </si>
  <si>
    <t>Đơn vị</t>
  </si>
  <si>
    <t>Đơn giá (đồng)</t>
  </si>
  <si>
    <t>Thành tiền (đồng)</t>
  </si>
  <si>
    <t>Trong đó kinh phí được giao khoán</t>
  </si>
  <si>
    <t>Tổng cộng:</t>
  </si>
  <si>
    <t>4. Hội nghị, hội thảo, tọa đàm khoa học; công tác phí trong nước, hợp tác quốc tế</t>
  </si>
  <si>
    <t>4.1. Hội nghị, hội thảo khoa học, tọa đàm khoa học (Được giao khoán):</t>
  </si>
  <si>
    <t>Nội dung</t>
  </si>
  <si>
    <t>Định mức/ đơn giá (đồng)</t>
  </si>
  <si>
    <t>Thành tiền  
(đồng)</t>
  </si>
  <si>
    <t>Người chủ trì</t>
  </si>
  <si>
    <t>Thư kí hội thảo, tọa đàm</t>
  </si>
  <si>
    <t>Báo cáo trình bày tại hội thảo, tọa đàm khoa học</t>
  </si>
  <si>
    <t>Báo cáo khoa học (không trình bày)</t>
  </si>
  <si>
    <t>Thành viên tham dự</t>
  </si>
  <si>
    <t>Nước uống</t>
  </si>
  <si>
    <t>Chi khác</t>
  </si>
  <si>
    <t>4.2. Công tác phí trong nước (Được giao khoán):</t>
  </si>
  <si>
    <t>Khoản chi phí</t>
  </si>
  <si>
    <t>Diễn giải</t>
  </si>
  <si>
    <t xml:space="preserve">Định mức/
đơn giá (đồng) </t>
  </si>
  <si>
    <t>A</t>
  </si>
  <si>
    <r>
      <rPr>
        <b/>
        <sz val="12"/>
        <color indexed="8"/>
        <rFont val="Times New Roman"/>
        <family val="1"/>
        <charset val="0"/>
      </rPr>
      <t>Lần 1</t>
    </r>
    <r>
      <rPr>
        <sz val="12"/>
        <color indexed="8"/>
        <rFont val="Times New Roman"/>
        <family val="1"/>
        <charset val="0"/>
      </rPr>
      <t xml:space="preserve"> (Đi khảo sát thực địa và đánh giá hiện trạng lũ lụt và trượt lở đất tại khu vực nghiên cứu)</t>
    </r>
  </si>
  <si>
    <t>Vé máy bay khứ hồi (Hà Nội - Đà Nẵng - Hà Nội)</t>
  </si>
  <si>
    <t>Lưu trú (phòng nghỉ): 4 người x 24 đêm x 350.000đ</t>
  </si>
  <si>
    <t>Công tác phí: 4 người x 25 ngày x 200.000đ</t>
  </si>
  <si>
    <t>Đi lại (Thuê ô tô chở đoàn đi khảo sát thực địa) tính theo ngày</t>
  </si>
  <si>
    <t>B</t>
  </si>
  <si>
    <r>
      <rPr>
        <b/>
        <sz val="12"/>
        <color indexed="8"/>
        <rFont val="Times New Roman"/>
        <family val="1"/>
        <charset val="0"/>
      </rPr>
      <t>Lần 2</t>
    </r>
    <r>
      <rPr>
        <sz val="12"/>
        <color indexed="8"/>
        <rFont val="Times New Roman"/>
        <family val="1"/>
        <charset val="0"/>
      </rPr>
      <t xml:space="preserve"> (Đi khảo sát thiết lập và lắp đặt tăng cường mạng lưới trạm cảm biến IoT thông minh)</t>
    </r>
  </si>
  <si>
    <t>C</t>
  </si>
  <si>
    <r>
      <rPr>
        <b/>
        <sz val="12"/>
        <color indexed="8"/>
        <rFont val="Times New Roman"/>
        <family val="1"/>
        <charset val="0"/>
      </rPr>
      <t>Lần 3</t>
    </r>
    <r>
      <rPr>
        <sz val="12"/>
        <color indexed="8"/>
        <rFont val="Times New Roman"/>
        <family val="1"/>
        <charset val="0"/>
      </rPr>
      <t xml:space="preserve"> (Đi trao đổi, trao đổi kết quả nghiên cứu với các bên liên quan tại tỉnh Quảng Nam)</t>
    </r>
  </si>
  <si>
    <t>Chi thuê phòng nghỉ (mức khoán: 1 người x 350.000 đồng/đêm)</t>
  </si>
  <si>
    <t>Công tác phí (mức khoán: 1 người x  200.000 đồng/ngày)</t>
  </si>
  <si>
    <t>5. Dịch vụ thuê ngoài (Được giao khoán)</t>
  </si>
  <si>
    <t>Dịch vụ thuê ngoài</t>
  </si>
  <si>
    <t>Thành tiền  (đồng)</t>
  </si>
  <si>
    <t>Nội dung 1: Nghiên cứu cơ chế hình thành và phạm vi ảnh hưởng của rủi ro lũ lụt và trượt lở đất đến hạ tầng kinh tế - xã hội trên địa bàn khu vực nghiên cứu, từ đó, nhận diện các yếu tố chính có ảnh hưởng tới nguy cơ hình thành lũ lụt và trượt lở đất trong khu vực.</t>
  </si>
  <si>
    <t>Công việc 1.1: Nghiên cứu tổng quan cơ sở khoa học, cơ chế hình thành và phạm vi ảnh hưởng của tai biến lũ lụt và trượt lở đất.</t>
  </si>
  <si>
    <t>Công việc 1.2: Nghiên cứu mối quan hệ giữa các yếu tố tự nhiên, môi trường, khí tượng với quá trình hình thành lũ lụt và trượt lở đất trong khu vực.</t>
  </si>
  <si>
    <t>Nội dung 2: Nghiên cứu thu thập, phân tích và tích hợp dữ liệu không gian và dữ liệu kinh tế – xã hội đa nguồn nhằm xây dựng cơ sở dữ liệu đầu vào phục vụ phân tích, đánh giá và cảnh báo sớm rủi ro lũ lụt và trượt lở đất tại khu vực nghiên cứu.</t>
  </si>
  <si>
    <t>Công việc 2.1: Thu thập, xử lý và phân tích các nguồn dữ liệu không gian và kinh tế – xã hội gồm ảnh viễn thám, DEM, dữ liệu địa môi trường, dân cư và hạ tầng kỹ thuật.</t>
  </si>
  <si>
    <t xml:space="preserve">Công việc 2.2: Khảo sát, bay chụp UAV nhằm thu thập dữ liệu chi tiết tại những khu vực khó tiếp cận. </t>
  </si>
  <si>
    <t>Công việc 2.3: Tích hợp các lớp dữ liệu đã xử lý để chuẩn hóa và xây dựng cơ sở dữ liệu đầu vào phục vụ hệ thống phân tích và cảnh báo sớm rủi ro lũ lụt và trượt lở đất.</t>
  </si>
  <si>
    <t>Nội dung 3: Nghiên cứu thiết lập và lắp đặt tăng cường mạng lưới trạm cảm biến IoT thông minh nhằm cung cấp dữ liệu và phục vụ cảnh báo sớm lũ lụt và trượt lở đất.</t>
  </si>
  <si>
    <t>Công việc 3.1: Khảo sát, lựa chọn vị trí lắp đặt hệ thống trạm cảm biến IoT tại các vị trí chiến lược, phù hợp ở các khu vực có nguy cơ xảy ra lũ lụt và trượt lở đất.</t>
  </si>
  <si>
    <t>Công việc 3.2: Thiết kế và triển khai hệ thống trạm cảm biến IoT nhằm khảo sát tín hiệu, đảm bảo tính ổn định, khả năng kết nối và thu thập dữ liệu liên tục.</t>
  </si>
  <si>
    <t>Công việc 3.3: Xây dựng hàm cảnh báo lũ dựa theo số liệu cảm biến ghi nhận mực nước và lượng mưa tích lũy tại các khu vực hạ du sông.</t>
  </si>
  <si>
    <t>Công việc 3.4: Xây dựng hàm cảnh báo trượt lở theo số liệu cảm biến ghi nhận độ ẩm của đất và lượng mưa tích lũy tại các khu đồi núi.</t>
  </si>
  <si>
    <t>Công việc 3.5: Tích hợp hệ thống truyền dữ liệu và phần mềm phân tích để xử lý dữ liệu ghi nhận từ hệ thống cảm biến IoT.</t>
  </si>
  <si>
    <t>Nội dung 4: Nghiên cứu xây dựng và phát triển các mô hình trí tuệ nhân tạo không gian địa lý (GeoAI) trong phân tích và dự báo nguy cơ lũ lụt, trượt lở đất.</t>
  </si>
  <si>
    <t>Công việc 4.1: Nghiên cứu cơ sở toán học và phạm vi áp dụng các thuật toán học máy, học sâu trong mô hình hóa nguy cơ lũ lụt và trượt lở đất.</t>
  </si>
  <si>
    <t>Công việc 4.2: Nghiên cứu phát triển các  toán học máy, học sâu trên nền tảng điến toán đám mây Google Colab nhằm mô hình hóa nguy cơ lũ lụt và trượt lở đất.</t>
  </si>
  <si>
    <t>Công việc 4.3: Nghiên cứu các kỹ thuật và chỉ số thống kê phục vụ việc kiểm tra, đánh giá chất lượng mô hình hóa dự báo nguy cơ lũ lụt và trượt lở đất.</t>
  </si>
  <si>
    <t>Nội dung 5: Nghiên cứu xây dựng và triển khai hệ thống bản sao kỹ thuật số (DT) dựa trên trí tuệ nhân tạo không gian địa lý trên cơ sở tích hợp dữ liệu đa nguồn nhằm hỗ trợ phân tích và ra quyết định.</t>
  </si>
  <si>
    <t>Công việc 5.1: Tích hợp dữ liệu không gian và kinh tế – xã hội gồm ảnh viễn thám, DEM, dữ liệu địa môi trường, dân cư và hạ tầng kỹ thuật vào nền tảng bản sao kĩ thuật số.</t>
  </si>
  <si>
    <t>Công việc 5.2: Tích hợp dữ liệu ghi nhận từ hệ thống cảm biến IoT thông minh theo thời gian thực vào nền tảng bản sao kĩ thuật số.</t>
  </si>
  <si>
    <t>Công việc 5.3: Tích hợp dữ liệu dự báo nguy cơ lũ lụt và trượt lở đất được xây dựng từ các mô hình trí tuệ nhân tạo địa không gian vào nền tảng bản sao kĩ thuật số.</t>
  </si>
  <si>
    <t>Công việc 5.4: Thiết kế các tính năng phân tích, mô phỏng số, phân tích ra thông tin cảnh báo sớm trên nền tảng bản sao kĩ thuật số DT bằng cách đưa vào các công cụ AI và các mô hình học máy ML.</t>
  </si>
  <si>
    <t>Công việc 5.5: Thực nghiệm triển khai hệ thống bản sao kỹ thuật số (DT) dựa trên trí tuệ nhân tạo không gian địa lý trên cơ sở tích hợp dữ liệu đa nguồn trong phân tích và phát thông tin cảnh báo sớm lũ lụt và trượt lở đất theo thời gian thực.</t>
  </si>
  <si>
    <t>Công việc 6.1: Khảo sát, phân tích nhu cầu và hiện trạng dữ liệu tại các đơn vị quản lý rủi ro lũ lụt và trượt lở đất tại khu vực nghiên cứu để xác định yêu cầu chia sẻ và liên kết thông tin.</t>
  </si>
  <si>
    <t>Công việc 6.2: Xây dựng giao thức trao đổi và cơ chế phối hợp liên thông giữa các cơ quan quản lý, đảm bảo truy cập, cập nhật và sử dụng dữ liệu theo thời gian thực, hỗ trợ công tác ra quyết định nhanh chóng và chính xác.</t>
  </si>
  <si>
    <t>Công việc 6.3: Tổ chức hội thảo hoạch định chính sách ban đầu tại khu vực nghiên cứu nhằm đánh giá nhu cầu sử dụng và cung cấp thông tin.</t>
  </si>
</sst>
</file>

<file path=xl/styles.xml><?xml version="1.0" encoding="utf-8"?>
<styleSheet xmlns="http://schemas.openxmlformats.org/spreadsheetml/2006/main">
  <numFmts count="6">
    <numFmt numFmtId="176" formatCode="_(* #,##0_);_(* \(#,##0\);_(* &quot;-&quot;??_);_(@_)"/>
    <numFmt numFmtId="177" formatCode="_ * #,##0.00_ ;_ * \-#,##0.00_ ;_ * &quot;-&quot;??_ ;_ @_ "/>
    <numFmt numFmtId="178" formatCode="_ * #,##0_ ;_ * \-#,##0_ ;_ * &quot;-&quot;_ ;_ @_ "/>
    <numFmt numFmtId="44" formatCode="_(&quot;$&quot;* #,##0.00_);_(&quot;$&quot;* \(#,##0.00\);_(&quot;$&quot;* &quot;-&quot;??_);_(@_)"/>
    <numFmt numFmtId="42" formatCode="_(&quot;$&quot;* #,##0_);_(&quot;$&quot;* \(#,##0\);_(&quot;$&quot;* &quot;-&quot;_);_(@_)"/>
    <numFmt numFmtId="43" formatCode="_(* #,##0.00_);_(* \(#,##0.00\);_(* &quot;-&quot;??_);_(@_)"/>
  </numFmts>
  <fonts count="41">
    <font>
      <sz val="11"/>
      <color theme="1"/>
      <name val="Calibri"/>
      <charset val="134"/>
      <scheme val="minor"/>
    </font>
    <font>
      <b/>
      <sz val="13"/>
      <color theme="1"/>
      <name val="Times New Roman"/>
      <family val="1"/>
      <charset val="0"/>
    </font>
    <font>
      <b/>
      <sz val="12"/>
      <color theme="1"/>
      <name val="Times New Roman"/>
      <family val="1"/>
      <charset val="0"/>
    </font>
    <font>
      <sz val="11"/>
      <color theme="1"/>
      <name val="Times New Roman"/>
      <family val="1"/>
      <charset val="0"/>
    </font>
    <font>
      <b/>
      <sz val="11"/>
      <color theme="1"/>
      <name val="Times New Roman"/>
      <family val="1"/>
      <charset val="0"/>
    </font>
    <font>
      <i/>
      <sz val="11"/>
      <color theme="1"/>
      <name val="Times New Roman"/>
      <family val="1"/>
      <charset val="0"/>
    </font>
    <font>
      <b/>
      <i/>
      <sz val="11"/>
      <color theme="1"/>
      <name val="Times New Roman"/>
      <family val="1"/>
      <charset val="0"/>
    </font>
    <font>
      <sz val="12"/>
      <color theme="1"/>
      <name val="Times New Roman"/>
      <family val="1"/>
      <charset val="0"/>
    </font>
    <font>
      <b/>
      <sz val="11"/>
      <name val="Times New Roman"/>
      <family val="1"/>
      <charset val="0"/>
    </font>
    <font>
      <sz val="12"/>
      <color theme="1"/>
      <name val="Calibri"/>
      <family val="2"/>
      <charset val="0"/>
      <scheme val="minor"/>
    </font>
    <font>
      <sz val="12"/>
      <color indexed="8"/>
      <name val="Times New Roman"/>
      <family val="1"/>
      <charset val="0"/>
    </font>
    <font>
      <b/>
      <i/>
      <sz val="12"/>
      <color theme="1"/>
      <name val="Times New Roman"/>
      <family val="1"/>
      <charset val="0"/>
    </font>
    <font>
      <i/>
      <sz val="11"/>
      <color theme="1"/>
      <name val="Calibri"/>
      <charset val="134"/>
      <scheme val="minor"/>
    </font>
    <font>
      <b/>
      <sz val="11"/>
      <color theme="1"/>
      <name val="Calibri"/>
      <charset val="134"/>
      <scheme val="minor"/>
    </font>
    <font>
      <u/>
      <sz val="11"/>
      <color rgb="FF0000FF"/>
      <name val="Calibri"/>
      <charset val="0"/>
      <scheme val="minor"/>
    </font>
    <font>
      <sz val="11"/>
      <color theme="0"/>
      <name val="Calibri"/>
      <charset val="0"/>
      <scheme val="minor"/>
    </font>
    <font>
      <b/>
      <sz val="11"/>
      <color rgb="FFFFFFFF"/>
      <name val="Calibri"/>
      <charset val="0"/>
      <scheme val="minor"/>
    </font>
    <font>
      <sz val="11"/>
      <color theme="1"/>
      <name val="Calibri"/>
      <charset val="0"/>
      <scheme val="minor"/>
    </font>
    <font>
      <b/>
      <sz val="15"/>
      <color theme="3"/>
      <name val="Calibri"/>
      <charset val="134"/>
      <scheme val="minor"/>
    </font>
    <font>
      <b/>
      <sz val="11"/>
      <color theme="3"/>
      <name val="Calibri"/>
      <charset val="134"/>
      <scheme val="minor"/>
    </font>
    <font>
      <sz val="11"/>
      <color rgb="FF3F3F76"/>
      <name val="Calibri"/>
      <charset val="0"/>
      <scheme val="minor"/>
    </font>
    <font>
      <sz val="11"/>
      <color rgb="FFFF0000"/>
      <name val="Calibri"/>
      <charset val="0"/>
      <scheme val="minor"/>
    </font>
    <font>
      <b/>
      <sz val="18"/>
      <color theme="3"/>
      <name val="Calibri"/>
      <charset val="134"/>
      <scheme val="minor"/>
    </font>
    <font>
      <u/>
      <sz val="11"/>
      <color rgb="FF800080"/>
      <name val="Calibri"/>
      <charset val="0"/>
      <scheme val="minor"/>
    </font>
    <font>
      <i/>
      <sz val="11"/>
      <color rgb="FF7F7F7F"/>
      <name val="Calibri"/>
      <charset val="0"/>
      <scheme val="minor"/>
    </font>
    <font>
      <sz val="11"/>
      <color rgb="FF9C0006"/>
      <name val="Calibri"/>
      <charset val="0"/>
      <scheme val="minor"/>
    </font>
    <font>
      <sz val="11"/>
      <color rgb="FFFA7D00"/>
      <name val="Calibri"/>
      <charset val="0"/>
      <scheme val="minor"/>
    </font>
    <font>
      <sz val="11"/>
      <color rgb="FF9C6500"/>
      <name val="Calibri"/>
      <charset val="0"/>
      <scheme val="minor"/>
    </font>
    <font>
      <b/>
      <sz val="11"/>
      <color rgb="FFFA7D00"/>
      <name val="Calibri"/>
      <charset val="0"/>
      <scheme val="minor"/>
    </font>
    <font>
      <b/>
      <sz val="11"/>
      <color rgb="FF3F3F3F"/>
      <name val="Calibri"/>
      <charset val="0"/>
      <scheme val="minor"/>
    </font>
    <font>
      <sz val="11"/>
      <color rgb="FF006100"/>
      <name val="Calibri"/>
      <charset val="0"/>
      <scheme val="minor"/>
    </font>
    <font>
      <b/>
      <sz val="11"/>
      <color theme="1"/>
      <name val="Calibri"/>
      <charset val="0"/>
      <scheme val="minor"/>
    </font>
    <font>
      <b/>
      <sz val="13"/>
      <color theme="3"/>
      <name val="Calibri"/>
      <charset val="134"/>
      <scheme val="minor"/>
    </font>
    <font>
      <sz val="11"/>
      <color theme="1"/>
      <name val="Calibri"/>
      <family val="2"/>
      <charset val="0"/>
      <scheme val="minor"/>
    </font>
    <font>
      <b/>
      <vertAlign val="subscript"/>
      <sz val="11"/>
      <color indexed="8"/>
      <name val="Times New Roman"/>
      <family val="1"/>
      <charset val="0"/>
    </font>
    <font>
      <b/>
      <sz val="11"/>
      <color indexed="8"/>
      <name val="Times New Roman"/>
      <family val="1"/>
      <charset val="0"/>
    </font>
    <font>
      <vertAlign val="subscript"/>
      <sz val="11"/>
      <color indexed="8"/>
      <name val="Times New Roman"/>
      <family val="1"/>
      <charset val="0"/>
    </font>
    <font>
      <sz val="11"/>
      <color indexed="8"/>
      <name val="Times New Roman"/>
      <family val="1"/>
      <charset val="0"/>
    </font>
    <font>
      <b/>
      <sz val="12"/>
      <color indexed="8"/>
      <name val="Times New Roman"/>
      <family val="1"/>
      <charset val="0"/>
    </font>
    <font>
      <sz val="9"/>
      <name val="Tahoma"/>
      <charset val="0"/>
    </font>
    <font>
      <b/>
      <sz val="9"/>
      <name val="Tahoma"/>
      <charset val="0"/>
    </font>
  </fonts>
  <fills count="38">
    <fill>
      <patternFill patternType="none"/>
    </fill>
    <fill>
      <patternFill patternType="gray125"/>
    </fill>
    <fill>
      <patternFill patternType="solid">
        <fgColor theme="4" tint="0.799981688894314"/>
        <bgColor indexed="64"/>
      </patternFill>
    </fill>
    <fill>
      <patternFill patternType="solid">
        <fgColor theme="0"/>
        <bgColor indexed="64"/>
      </patternFill>
    </fill>
    <fill>
      <patternFill patternType="solid">
        <fgColor theme="5" tint="0.4"/>
        <bgColor indexed="64"/>
      </patternFill>
    </fill>
    <fill>
      <patternFill patternType="solid">
        <fgColor theme="7" tint="0.4"/>
        <bgColor indexed="64"/>
      </patternFill>
    </fill>
    <fill>
      <patternFill patternType="solid">
        <fgColor theme="9" tint="0.4"/>
        <bgColor indexed="64"/>
      </patternFill>
    </fill>
    <fill>
      <patternFill patternType="solid">
        <fgColor theme="6"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8" tint="0.599993896298105"/>
        <bgColor indexed="64"/>
      </patternFill>
    </fill>
    <fill>
      <patternFill patternType="solid">
        <fgColor rgb="FFFFCC99"/>
        <bgColor indexed="64"/>
      </patternFill>
    </fill>
    <fill>
      <patternFill patternType="solid">
        <fgColor rgb="FFFFFFCC"/>
        <bgColor indexed="64"/>
      </patternFill>
    </fill>
    <fill>
      <patternFill patternType="solid">
        <fgColor theme="9" tint="0.599993896298105"/>
        <bgColor indexed="64"/>
      </patternFill>
    </fill>
    <fill>
      <patternFill patternType="solid">
        <fgColor theme="6"/>
        <bgColor indexed="64"/>
      </patternFill>
    </fill>
    <fill>
      <patternFill patternType="solid">
        <fgColor rgb="FFFFC7CE"/>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4"/>
        <bgColor indexed="64"/>
      </patternFill>
    </fill>
    <fill>
      <patternFill patternType="solid">
        <fgColor theme="5"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7"/>
        <bgColor indexed="64"/>
      </patternFill>
    </fill>
    <fill>
      <patternFill patternType="solid">
        <fgColor theme="8" tint="0.399975585192419"/>
        <bgColor indexed="64"/>
      </patternFill>
    </fill>
    <fill>
      <patternFill patternType="solid">
        <fgColor theme="9"/>
        <bgColor indexed="64"/>
      </patternFill>
    </fill>
    <fill>
      <patternFill patternType="solid">
        <fgColor theme="4"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7"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theme="5" tint="0.599993896298105"/>
        <bgColor indexed="64"/>
      </patternFill>
    </fill>
  </fills>
  <borders count="1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0">
    <xf numFmtId="0" fontId="0" fillId="0" borderId="0">
      <alignment vertical="center"/>
    </xf>
    <xf numFmtId="0" fontId="15" fillId="18" borderId="0" applyNumberFormat="0" applyBorder="0" applyAlignment="0" applyProtection="0">
      <alignment vertical="center"/>
    </xf>
    <xf numFmtId="0" fontId="17" fillId="15"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17" fillId="12" borderId="0" applyNumberFormat="0" applyBorder="0" applyAlignment="0" applyProtection="0">
      <alignment vertical="center"/>
    </xf>
    <xf numFmtId="0" fontId="17" fillId="27" borderId="0" applyNumberFormat="0" applyBorder="0" applyAlignment="0" applyProtection="0">
      <alignment vertical="center"/>
    </xf>
    <xf numFmtId="0" fontId="15" fillId="36" borderId="0" applyNumberFormat="0" applyBorder="0" applyAlignment="0" applyProtection="0">
      <alignment vertical="center"/>
    </xf>
    <xf numFmtId="0" fontId="15" fillId="26" borderId="0" applyNumberFormat="0" applyBorder="0" applyAlignment="0" applyProtection="0">
      <alignment vertical="center"/>
    </xf>
    <xf numFmtId="0" fontId="17" fillId="34" borderId="0" applyNumberFormat="0" applyBorder="0" applyAlignment="0" applyProtection="0">
      <alignment vertical="center"/>
    </xf>
    <xf numFmtId="0" fontId="15" fillId="28" borderId="0" applyNumberFormat="0" applyBorder="0" applyAlignment="0" applyProtection="0">
      <alignment vertical="center"/>
    </xf>
    <xf numFmtId="0" fontId="26" fillId="0" borderId="13" applyNumberFormat="0" applyFill="0" applyAlignment="0" applyProtection="0">
      <alignment vertical="center"/>
    </xf>
    <xf numFmtId="0" fontId="17" fillId="22" borderId="0" applyNumberFormat="0" applyBorder="0" applyAlignment="0" applyProtection="0">
      <alignment vertical="center"/>
    </xf>
    <xf numFmtId="0" fontId="15" fillId="25" borderId="0" applyNumberFormat="0" applyBorder="0" applyAlignment="0" applyProtection="0">
      <alignment vertical="center"/>
    </xf>
    <xf numFmtId="0" fontId="15" fillId="16" borderId="0" applyNumberFormat="0" applyBorder="0" applyAlignment="0" applyProtection="0">
      <alignment vertical="center"/>
    </xf>
    <xf numFmtId="0" fontId="17" fillId="37" borderId="0" applyNumberFormat="0" applyBorder="0" applyAlignment="0" applyProtection="0">
      <alignment vertical="center"/>
    </xf>
    <xf numFmtId="0" fontId="33" fillId="0" borderId="0"/>
    <xf numFmtId="0" fontId="17" fillId="23" borderId="0" applyNumberFormat="0" applyBorder="0" applyAlignment="0" applyProtection="0">
      <alignment vertical="center"/>
    </xf>
    <xf numFmtId="0" fontId="15" fillId="11" borderId="0" applyNumberFormat="0" applyBorder="0" applyAlignment="0" applyProtection="0">
      <alignment vertical="center"/>
    </xf>
    <xf numFmtId="0" fontId="17" fillId="20" borderId="0" applyNumberFormat="0" applyBorder="0" applyAlignment="0" applyProtection="0">
      <alignment vertical="center"/>
    </xf>
    <xf numFmtId="0" fontId="17" fillId="31" borderId="0" applyNumberFormat="0" applyBorder="0" applyAlignment="0" applyProtection="0">
      <alignment vertical="center"/>
    </xf>
    <xf numFmtId="0" fontId="15" fillId="24" borderId="0" applyNumberFormat="0" applyBorder="0" applyAlignment="0" applyProtection="0">
      <alignment vertical="center"/>
    </xf>
    <xf numFmtId="0" fontId="27" fillId="32" borderId="0" applyNumberFormat="0" applyBorder="0" applyAlignment="0" applyProtection="0">
      <alignment vertical="center"/>
    </xf>
    <xf numFmtId="0" fontId="15" fillId="21" borderId="0" applyNumberFormat="0" applyBorder="0" applyAlignment="0" applyProtection="0">
      <alignment vertical="center"/>
    </xf>
    <xf numFmtId="0" fontId="25" fillId="17" borderId="0" applyNumberFormat="0" applyBorder="0" applyAlignment="0" applyProtection="0">
      <alignment vertical="center"/>
    </xf>
    <xf numFmtId="0" fontId="17" fillId="9" borderId="0" applyNumberFormat="0" applyBorder="0" applyAlignment="0" applyProtection="0">
      <alignment vertical="center"/>
    </xf>
    <xf numFmtId="0" fontId="31" fillId="0" borderId="15" applyNumberFormat="0" applyFill="0" applyAlignment="0" applyProtection="0">
      <alignment vertical="center"/>
    </xf>
    <xf numFmtId="0" fontId="29" fillId="33" borderId="14" applyNumberFormat="0" applyAlignment="0" applyProtection="0">
      <alignment vertical="center"/>
    </xf>
    <xf numFmtId="44" fontId="0" fillId="0" borderId="0" applyFont="0" applyFill="0" applyBorder="0" applyAlignment="0" applyProtection="0">
      <alignment vertical="center"/>
    </xf>
    <xf numFmtId="0" fontId="17" fillId="19" borderId="0" applyNumberFormat="0" applyBorder="0" applyAlignment="0" applyProtection="0">
      <alignment vertical="center"/>
    </xf>
    <xf numFmtId="0" fontId="0" fillId="14" borderId="11" applyNumberFormat="0" applyFont="0" applyAlignment="0" applyProtection="0">
      <alignment vertical="center"/>
    </xf>
    <xf numFmtId="0" fontId="20" fillId="13" borderId="10" applyNumberFormat="0" applyAlignment="0" applyProtection="0">
      <alignment vertical="center"/>
    </xf>
    <xf numFmtId="0" fontId="19" fillId="0" borderId="0" applyNumberFormat="0" applyFill="0" applyBorder="0" applyAlignment="0" applyProtection="0">
      <alignment vertical="center"/>
    </xf>
    <xf numFmtId="0" fontId="28" fillId="33" borderId="10" applyNumberFormat="0" applyAlignment="0" applyProtection="0">
      <alignment vertical="center"/>
    </xf>
    <xf numFmtId="0" fontId="30" fillId="35" borderId="0" applyNumberFormat="0" applyBorder="0" applyAlignment="0" applyProtection="0">
      <alignment vertical="center"/>
    </xf>
    <xf numFmtId="0" fontId="19" fillId="0" borderId="12" applyNumberFormat="0" applyFill="0" applyAlignment="0" applyProtection="0">
      <alignment vertical="center"/>
    </xf>
    <xf numFmtId="0" fontId="24" fillId="0" borderId="0" applyNumberFormat="0" applyFill="0" applyBorder="0" applyAlignment="0" applyProtection="0">
      <alignment vertical="center"/>
    </xf>
    <xf numFmtId="0" fontId="18" fillId="0" borderId="9" applyNumberFormat="0" applyFill="0" applyAlignment="0" applyProtection="0">
      <alignment vertical="center"/>
    </xf>
    <xf numFmtId="178" fontId="0" fillId="0" borderId="0" applyFont="0" applyFill="0" applyBorder="0" applyAlignment="0" applyProtection="0">
      <alignment vertical="center"/>
    </xf>
    <xf numFmtId="0" fontId="17" fillId="10" borderId="0" applyNumberFormat="0" applyBorder="0" applyAlignment="0" applyProtection="0">
      <alignment vertical="center"/>
    </xf>
    <xf numFmtId="0" fontId="22" fillId="0" borderId="0" applyNumberForma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2" fillId="0" borderId="9" applyNumberFormat="0" applyFill="0" applyAlignment="0" applyProtection="0">
      <alignment vertical="center"/>
    </xf>
    <xf numFmtId="177" fontId="0" fillId="0" borderId="0" applyFont="0" applyFill="0" applyBorder="0" applyAlignment="0" applyProtection="0">
      <alignment vertical="center"/>
    </xf>
    <xf numFmtId="0" fontId="16" fillId="8" borderId="8" applyNumberFormat="0" applyAlignment="0" applyProtection="0">
      <alignment vertical="center"/>
    </xf>
    <xf numFmtId="0" fontId="15" fillId="7" borderId="0" applyNumberFormat="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cellStyleXfs>
  <cellXfs count="110">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176" fontId="2" fillId="0" borderId="0" xfId="0" applyNumberFormat="1" applyFont="1" applyFill="1" applyBorder="1" applyAlignment="1">
      <alignment horizontal="center" vertical="center" wrapText="1"/>
    </xf>
    <xf numFmtId="0" fontId="2" fillId="0" borderId="0" xfId="0" applyFont="1" applyFill="1" applyBorder="1" applyAlignment="1">
      <alignment horizontal="left" vertical="center"/>
    </xf>
    <xf numFmtId="0" fontId="3" fillId="0" borderId="0" xfId="0" applyFont="1" applyFill="1" applyBorder="1" applyAlignment="1">
      <alignment horizontal="center" vertical="center" wrapText="1"/>
    </xf>
    <xf numFmtId="0" fontId="4" fillId="0" borderId="1" xfId="0" applyFont="1" applyFill="1" applyBorder="1" applyAlignment="1">
      <alignment horizontal="right" vertical="center"/>
    </xf>
    <xf numFmtId="0" fontId="4"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0" borderId="2" xfId="0" applyFont="1" applyFill="1" applyBorder="1" applyAlignment="1">
      <alignment vertical="center" wrapText="1"/>
    </xf>
    <xf numFmtId="0" fontId="3" fillId="0" borderId="2" xfId="0" applyFont="1" applyFill="1" applyBorder="1" applyAlignment="1">
      <alignment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vertical="center" wrapText="1"/>
    </xf>
    <xf numFmtId="0" fontId="3" fillId="2"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vertical="center" wrapText="1"/>
    </xf>
    <xf numFmtId="0" fontId="3" fillId="0" borderId="2"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left" vertical="center" wrapText="1"/>
    </xf>
    <xf numFmtId="176" fontId="7" fillId="0" borderId="0" xfId="45" applyNumberFormat="1" applyFont="1" applyFill="1" applyAlignment="1">
      <alignment horizontal="right" vertical="center" wrapText="1"/>
    </xf>
    <xf numFmtId="2" fontId="3" fillId="0" borderId="0" xfId="0" applyNumberFormat="1" applyFont="1" applyFill="1" applyBorder="1" applyAlignment="1">
      <alignment horizontal="left" vertical="center" wrapText="1"/>
    </xf>
    <xf numFmtId="176" fontId="3" fillId="0" borderId="0" xfId="45" applyNumberFormat="1" applyFont="1" applyFill="1" applyAlignment="1">
      <alignment vertical="center" wrapText="1"/>
    </xf>
    <xf numFmtId="2" fontId="4" fillId="0" borderId="2" xfId="0" applyNumberFormat="1" applyFont="1" applyFill="1" applyBorder="1" applyAlignment="1">
      <alignment horizontal="center" vertical="center" wrapText="1"/>
    </xf>
    <xf numFmtId="176" fontId="4" fillId="0" borderId="2" xfId="45" applyNumberFormat="1" applyFont="1" applyFill="1" applyBorder="1" applyAlignment="1">
      <alignment horizontal="center" vertical="center" wrapText="1"/>
    </xf>
    <xf numFmtId="2" fontId="5" fillId="0" borderId="2" xfId="0" applyNumberFormat="1" applyFont="1" applyFill="1" applyBorder="1" applyAlignment="1">
      <alignment horizontal="center" vertical="center" wrapText="1"/>
    </xf>
    <xf numFmtId="176" fontId="5" fillId="0" borderId="2" xfId="45" applyNumberFormat="1" applyFont="1" applyFill="1" applyBorder="1" applyAlignment="1">
      <alignment horizontal="center" vertical="center" wrapText="1"/>
    </xf>
    <xf numFmtId="0" fontId="4" fillId="0" borderId="2" xfId="0" applyFont="1" applyFill="1" applyBorder="1" applyAlignment="1">
      <alignment horizontal="right" vertical="center" wrapText="1"/>
    </xf>
    <xf numFmtId="176" fontId="8" fillId="0" borderId="2" xfId="45" applyNumberFormat="1" applyFont="1" applyFill="1" applyBorder="1" applyAlignment="1">
      <alignment horizontal="right" vertical="center" wrapText="1"/>
    </xf>
    <xf numFmtId="0" fontId="3" fillId="2" borderId="2" xfId="0" applyFont="1" applyFill="1" applyBorder="1" applyAlignment="1">
      <alignment horizontal="right" vertical="center" wrapText="1"/>
    </xf>
    <xf numFmtId="2" fontId="3" fillId="2" borderId="2" xfId="0" applyNumberFormat="1" applyFont="1" applyFill="1" applyBorder="1" applyAlignment="1">
      <alignment horizontal="center" vertical="center" wrapText="1"/>
    </xf>
    <xf numFmtId="176" fontId="4" fillId="2" borderId="2" xfId="45" applyNumberFormat="1" applyFont="1" applyFill="1" applyBorder="1" applyAlignment="1">
      <alignment horizontal="right" vertical="center" wrapText="1"/>
    </xf>
    <xf numFmtId="0" fontId="3" fillId="0" borderId="2" xfId="0" applyFont="1" applyFill="1" applyBorder="1" applyAlignment="1">
      <alignment horizontal="right" vertical="center" wrapText="1"/>
    </xf>
    <xf numFmtId="2" fontId="6" fillId="0" borderId="2" xfId="45" applyNumberFormat="1" applyFont="1" applyFill="1" applyBorder="1" applyAlignment="1">
      <alignment horizontal="center" vertical="center" wrapText="1"/>
    </xf>
    <xf numFmtId="176" fontId="6" fillId="0" borderId="2" xfId="45" applyNumberFormat="1" applyFont="1" applyFill="1" applyBorder="1" applyAlignment="1">
      <alignment horizontal="center" vertical="center" wrapText="1"/>
    </xf>
    <xf numFmtId="176" fontId="6" fillId="0" borderId="2" xfId="0" applyNumberFormat="1" applyFont="1" applyFill="1" applyBorder="1" applyAlignment="1">
      <alignment horizontal="right" vertical="center" wrapText="1"/>
    </xf>
    <xf numFmtId="2" fontId="6" fillId="0" borderId="2" xfId="0" applyNumberFormat="1" applyFont="1" applyFill="1" applyBorder="1" applyAlignment="1">
      <alignment horizontal="center" vertical="center" wrapText="1"/>
    </xf>
    <xf numFmtId="176" fontId="6" fillId="0" borderId="2" xfId="45" applyNumberFormat="1" applyFont="1" applyFill="1" applyBorder="1" applyAlignment="1">
      <alignment horizontal="right" vertical="center" wrapText="1"/>
    </xf>
    <xf numFmtId="176" fontId="5" fillId="0" borderId="2" xfId="0" applyNumberFormat="1" applyFont="1" applyFill="1" applyBorder="1" applyAlignment="1">
      <alignment horizontal="right" vertical="center" wrapText="1"/>
    </xf>
    <xf numFmtId="2" fontId="3" fillId="0" borderId="2" xfId="0" applyNumberFormat="1" applyFont="1" applyFill="1" applyBorder="1" applyAlignment="1">
      <alignment horizontal="center" vertical="center" wrapText="1"/>
    </xf>
    <xf numFmtId="176" fontId="3" fillId="0" borderId="2" xfId="45" applyNumberFormat="1" applyFont="1" applyFill="1" applyBorder="1" applyAlignment="1">
      <alignment horizontal="right" vertical="center" wrapText="1"/>
    </xf>
    <xf numFmtId="2" fontId="6" fillId="0" borderId="2" xfId="45" applyNumberFormat="1" applyFont="1" applyFill="1" applyBorder="1" applyAlignment="1">
      <alignment horizontal="right" vertical="center" wrapText="1"/>
    </xf>
    <xf numFmtId="0" fontId="7"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2" fontId="3" fillId="0" borderId="2" xfId="0" applyNumberFormat="1" applyFont="1" applyFill="1" applyBorder="1" applyAlignment="1">
      <alignment vertical="center" wrapText="1"/>
    </xf>
    <xf numFmtId="176" fontId="4" fillId="0" borderId="2" xfId="45" applyNumberFormat="1" applyFont="1" applyFill="1" applyBorder="1" applyAlignment="1">
      <alignment vertical="center" wrapText="1"/>
    </xf>
    <xf numFmtId="176" fontId="3" fillId="0" borderId="2" xfId="45" applyNumberFormat="1" applyFont="1" applyFill="1" applyBorder="1" applyAlignment="1">
      <alignment vertical="center" wrapText="1"/>
    </xf>
    <xf numFmtId="0" fontId="7" fillId="0" borderId="2" xfId="0" applyFont="1" applyFill="1" applyBorder="1" applyAlignment="1">
      <alignment horizontal="right" vertical="center" wrapText="1"/>
    </xf>
    <xf numFmtId="2" fontId="2" fillId="0" borderId="2" xfId="45" applyNumberFormat="1" applyFont="1" applyFill="1" applyBorder="1" applyAlignment="1">
      <alignment horizontal="center" vertical="center" wrapText="1"/>
    </xf>
    <xf numFmtId="176" fontId="8" fillId="0" borderId="2" xfId="45" applyNumberFormat="1" applyFont="1" applyFill="1" applyBorder="1" applyAlignment="1">
      <alignment vertical="center" wrapText="1"/>
    </xf>
    <xf numFmtId="0" fontId="2" fillId="3" borderId="0" xfId="0" applyFont="1" applyFill="1" applyBorder="1" applyAlignment="1">
      <alignment vertical="center"/>
    </xf>
    <xf numFmtId="0" fontId="9" fillId="3" borderId="0" xfId="0" applyFont="1" applyFill="1" applyBorder="1" applyAlignment="1">
      <alignment vertical="center"/>
    </xf>
    <xf numFmtId="0" fontId="2"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2" fillId="3" borderId="2" xfId="0" applyFont="1" applyFill="1" applyBorder="1" applyAlignment="1">
      <alignment horizontal="right" vertical="center" wrapText="1"/>
    </xf>
    <xf numFmtId="3" fontId="2" fillId="3" borderId="2" xfId="0" applyNumberFormat="1" applyFont="1" applyFill="1" applyBorder="1" applyAlignment="1">
      <alignment horizontal="center" vertical="center" wrapText="1"/>
    </xf>
    <xf numFmtId="3" fontId="7" fillId="3" borderId="2" xfId="0" applyNumberFormat="1" applyFont="1" applyFill="1" applyBorder="1" applyAlignment="1">
      <alignment horizontal="center" vertical="center" wrapText="1"/>
    </xf>
    <xf numFmtId="43" fontId="7" fillId="3" borderId="2" xfId="45" applyNumberFormat="1" applyFont="1" applyFill="1" applyBorder="1" applyAlignment="1">
      <alignment horizontal="right" vertical="center" wrapText="1"/>
    </xf>
    <xf numFmtId="43" fontId="2" fillId="3" borderId="2" xfId="45" applyNumberFormat="1" applyFont="1" applyFill="1" applyBorder="1" applyAlignment="1">
      <alignment horizontal="right" vertical="center" wrapText="1"/>
    </xf>
    <xf numFmtId="0" fontId="2"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2" xfId="0" applyFont="1" applyFill="1" applyBorder="1" applyAlignment="1">
      <alignment vertical="center" wrapText="1"/>
    </xf>
    <xf numFmtId="0" fontId="7" fillId="3" borderId="5" xfId="0" applyFont="1" applyFill="1" applyBorder="1" applyAlignment="1">
      <alignment vertical="center" wrapText="1"/>
    </xf>
    <xf numFmtId="0" fontId="7" fillId="3" borderId="2" xfId="0" applyFont="1" applyFill="1" applyBorder="1" applyAlignment="1">
      <alignment vertical="center" wrapText="1"/>
    </xf>
    <xf numFmtId="0" fontId="2" fillId="0" borderId="0" xfId="0"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center" vertical="center"/>
    </xf>
    <xf numFmtId="0" fontId="2" fillId="0" borderId="4"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0" fillId="3" borderId="2"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3" xfId="0" applyFont="1" applyFill="1" applyBorder="1" applyAlignment="1">
      <alignment horizontal="center" vertical="center" wrapText="1"/>
    </xf>
    <xf numFmtId="0" fontId="7" fillId="3" borderId="3" xfId="0" applyFont="1" applyFill="1" applyBorder="1" applyAlignment="1">
      <alignment vertical="center" wrapText="1"/>
    </xf>
    <xf numFmtId="3" fontId="2" fillId="0" borderId="2" xfId="0" applyNumberFormat="1" applyFont="1" applyFill="1" applyBorder="1" applyAlignment="1">
      <alignment horizontal="center" vertical="center" wrapText="1"/>
    </xf>
    <xf numFmtId="3" fontId="7" fillId="3" borderId="2" xfId="0" applyNumberFormat="1" applyFont="1" applyFill="1" applyBorder="1" applyAlignment="1">
      <alignment vertical="center" wrapText="1"/>
    </xf>
    <xf numFmtId="3" fontId="7" fillId="0" borderId="2" xfId="45" applyNumberFormat="1" applyFont="1" applyFill="1" applyBorder="1" applyAlignment="1">
      <alignment horizontal="right" vertical="center" wrapText="1"/>
    </xf>
    <xf numFmtId="3" fontId="7" fillId="0" borderId="2" xfId="0" applyNumberFormat="1" applyFont="1" applyFill="1" applyBorder="1" applyAlignment="1">
      <alignment vertical="center" wrapText="1"/>
    </xf>
    <xf numFmtId="43" fontId="7" fillId="0" borderId="2" xfId="45" applyNumberFormat="1" applyFont="1" applyFill="1" applyBorder="1" applyAlignment="1">
      <alignment horizontal="right" vertical="center" wrapText="1"/>
    </xf>
    <xf numFmtId="3" fontId="2" fillId="0" borderId="2" xfId="45" applyNumberFormat="1" applyFont="1" applyFill="1" applyBorder="1" applyAlignment="1">
      <alignment horizontal="right" vertical="center" wrapText="1"/>
    </xf>
    <xf numFmtId="43" fontId="2" fillId="0" borderId="0" xfId="45" applyNumberFormat="1" applyFont="1" applyFill="1" applyBorder="1" applyAlignment="1">
      <alignment horizontal="right" vertical="center" wrapText="1"/>
    </xf>
    <xf numFmtId="0" fontId="2" fillId="0" borderId="5" xfId="0" applyFont="1" applyFill="1" applyBorder="1" applyAlignment="1">
      <alignment horizontal="center" vertical="center" wrapText="1"/>
    </xf>
    <xf numFmtId="176" fontId="2" fillId="0" borderId="3" xfId="0" applyNumberFormat="1" applyFont="1" applyFill="1" applyBorder="1" applyAlignment="1">
      <alignment horizontal="center" vertical="center" wrapText="1"/>
    </xf>
    <xf numFmtId="176" fontId="2" fillId="0" borderId="7" xfId="0" applyNumberFormat="1" applyFont="1" applyFill="1" applyBorder="1" applyAlignment="1">
      <alignment horizontal="center" vertical="center" wrapText="1"/>
    </xf>
    <xf numFmtId="176" fontId="11" fillId="3" borderId="2" xfId="0" applyNumberFormat="1" applyFont="1" applyFill="1" applyBorder="1" applyAlignment="1">
      <alignment vertical="center" wrapText="1"/>
    </xf>
    <xf numFmtId="176" fontId="7" fillId="3" borderId="2" xfId="0" applyNumberFormat="1" applyFont="1" applyFill="1" applyBorder="1" applyAlignment="1">
      <alignment horizontal="center" vertical="center" wrapText="1"/>
    </xf>
    <xf numFmtId="3" fontId="7" fillId="3" borderId="3" xfId="0" applyNumberFormat="1" applyFont="1" applyFill="1" applyBorder="1" applyAlignment="1">
      <alignment vertical="center" wrapText="1"/>
    </xf>
    <xf numFmtId="176" fontId="7" fillId="3" borderId="3"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0" fontId="2" fillId="0"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center" vertical="center" wrapText="1"/>
      <protection locked="0"/>
    </xf>
    <xf numFmtId="0" fontId="7" fillId="3" borderId="2" xfId="0" applyFont="1" applyFill="1" applyBorder="1" applyAlignment="1" applyProtection="1">
      <alignment horizontal="center" vertical="center" wrapText="1"/>
      <protection locked="0"/>
    </xf>
    <xf numFmtId="0" fontId="12" fillId="0" borderId="2" xfId="0" applyFont="1" applyFill="1" applyBorder="1" applyAlignment="1">
      <alignment horizontal="left" vertical="center"/>
    </xf>
    <xf numFmtId="0" fontId="7" fillId="3" borderId="2" xfId="0" applyFont="1" applyFill="1" applyBorder="1" applyAlignment="1" applyProtection="1">
      <alignment horizontal="left" vertical="center" wrapText="1"/>
      <protection locked="0"/>
    </xf>
    <xf numFmtId="0" fontId="0" fillId="0" borderId="2" xfId="0" applyFont="1" applyFill="1" applyBorder="1" applyAlignment="1">
      <alignment horizontal="left" vertical="center"/>
    </xf>
    <xf numFmtId="0" fontId="2" fillId="3" borderId="2" xfId="0" applyFont="1" applyFill="1" applyBorder="1" applyAlignment="1" applyProtection="1">
      <alignment horizontal="right" vertical="center" wrapText="1"/>
      <protection locked="0"/>
    </xf>
    <xf numFmtId="3" fontId="2" fillId="3" borderId="2" xfId="0" applyNumberFormat="1" applyFont="1" applyFill="1" applyBorder="1" applyAlignment="1" applyProtection="1">
      <alignment horizontal="center" vertical="center" wrapText="1"/>
      <protection locked="0"/>
    </xf>
    <xf numFmtId="3" fontId="2" fillId="3" borderId="2" xfId="0" applyNumberFormat="1"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protection locked="0"/>
    </xf>
    <xf numFmtId="176" fontId="7" fillId="3" borderId="2" xfId="45" applyNumberFormat="1" applyFont="1" applyFill="1" applyBorder="1" applyAlignment="1" applyProtection="1">
      <alignment horizontal="right" vertical="center" wrapText="1"/>
    </xf>
    <xf numFmtId="176" fontId="7" fillId="0" borderId="2" xfId="0" applyNumberFormat="1" applyFont="1" applyFill="1" applyBorder="1" applyAlignment="1" applyProtection="1">
      <alignment horizontal="right"/>
      <protection locked="0"/>
    </xf>
    <xf numFmtId="176" fontId="2" fillId="3" borderId="2" xfId="45" applyNumberFormat="1" applyFont="1" applyFill="1" applyBorder="1" applyAlignment="1" applyProtection="1">
      <alignment horizontal="right" vertical="center" wrapText="1"/>
    </xf>
    <xf numFmtId="0" fontId="13" fillId="0" borderId="0" xfId="0" applyFont="1">
      <alignment vertical="center"/>
    </xf>
    <xf numFmtId="0" fontId="0" fillId="4" borderId="2" xfId="0" applyFill="1" applyBorder="1" applyAlignment="1">
      <alignment horizontal="left" vertical="center"/>
    </xf>
    <xf numFmtId="0" fontId="13" fillId="0" borderId="2" xfId="0" applyFont="1" applyBorder="1" applyAlignment="1">
      <alignment vertical="center"/>
    </xf>
    <xf numFmtId="0" fontId="13" fillId="5" borderId="2" xfId="0" applyFont="1" applyFill="1" applyBorder="1" applyAlignment="1">
      <alignment horizontal="left" vertical="center"/>
    </xf>
    <xf numFmtId="0" fontId="12" fillId="0" borderId="2" xfId="0" applyFont="1" applyBorder="1" applyAlignment="1">
      <alignment horizontal="left" vertical="center"/>
    </xf>
    <xf numFmtId="0" fontId="0" fillId="0" borderId="2" xfId="0" applyBorder="1" applyAlignment="1">
      <alignment horizontal="left" vertical="center"/>
    </xf>
    <xf numFmtId="0" fontId="13" fillId="0" borderId="2" xfId="0" applyFont="1" applyBorder="1" applyAlignment="1">
      <alignment horizontal="left" vertical="center"/>
    </xf>
    <xf numFmtId="0" fontId="0" fillId="6" borderId="2" xfId="0" applyFill="1" applyBorder="1" applyAlignment="1">
      <alignment horizontal="left" vertical="center"/>
    </xf>
  </cellXfs>
  <cellStyles count="50">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Normal 4" xfId="16"/>
    <cellStyle name="20% - Accent2" xfId="17" builtinId="34"/>
    <cellStyle name="Accent2" xfId="18" builtinId="33"/>
    <cellStyle name="40% - Accent1" xfId="19" builtinId="31"/>
    <cellStyle name="20% - Accent1" xfId="20" builtinId="30"/>
    <cellStyle name="Accent1" xfId="21" builtinId="29"/>
    <cellStyle name="Neutral" xfId="22" builtinId="28"/>
    <cellStyle name="60% - Accent1" xfId="23" builtinId="32"/>
    <cellStyle name="Bad" xfId="24" builtinId="27"/>
    <cellStyle name="20% - Accent4" xfId="25" builtinId="42"/>
    <cellStyle name="Total" xfId="26" builtinId="25"/>
    <cellStyle name="Output" xfId="27" builtinId="21"/>
    <cellStyle name="Currency" xfId="28" builtinId="4"/>
    <cellStyle name="20% - Accent3" xfId="29" builtinId="38"/>
    <cellStyle name="Note" xfId="30" builtinId="10"/>
    <cellStyle name="Input" xfId="31" builtinId="20"/>
    <cellStyle name="Heading 4" xfId="32" builtinId="19"/>
    <cellStyle name="Calculation" xfId="33" builtinId="22"/>
    <cellStyle name="Good" xfId="34" builtinId="26"/>
    <cellStyle name="Heading 3" xfId="35" builtinId="18"/>
    <cellStyle name="CExplanatory Text" xfId="36" builtinId="53"/>
    <cellStyle name="Heading 1" xfId="37" builtinId="16"/>
    <cellStyle name="Comma [0]" xfId="38" builtinId="6"/>
    <cellStyle name="20% - Accent6" xfId="39" builtinId="50"/>
    <cellStyle name="Title" xfId="40" builtinId="15"/>
    <cellStyle name="Currency [0]" xfId="41" builtinId="7"/>
    <cellStyle name="Warning Text" xfId="42" builtinId="11"/>
    <cellStyle name="Followed Hyperlink" xfId="43" builtinId="9"/>
    <cellStyle name="Heading 2" xfId="44" builtinId="17"/>
    <cellStyle name="Comma" xfId="45" builtinId="3"/>
    <cellStyle name="Check Cell" xfId="46" builtinId="23"/>
    <cellStyle name="60% - Accent3" xfId="47" builtinId="40"/>
    <cellStyle name="Percent" xfId="48" builtinId="5"/>
    <cellStyle name="Hyperlink" xfId="49"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7"/>
  <sheetViews>
    <sheetView zoomScale="145" zoomScaleNormal="145" workbookViewId="0">
      <selection activeCell="A45" sqref="A45:D45"/>
    </sheetView>
  </sheetViews>
  <sheetFormatPr defaultColWidth="9" defaultRowHeight="14.25" outlineLevelCol="5"/>
  <cols>
    <col min="1" max="1" width="45.625" customWidth="1"/>
    <col min="2" max="2" width="15.125" customWidth="1"/>
    <col min="3" max="3" width="9" customWidth="1"/>
    <col min="4" max="4" width="14" customWidth="1"/>
    <col min="5" max="5" width="16.25" customWidth="1"/>
    <col min="6" max="6" width="34.5" customWidth="1"/>
  </cols>
  <sheetData>
    <row r="1" spans="1:6">
      <c r="A1" s="103" t="s">
        <v>0</v>
      </c>
      <c r="B1" s="103" t="s">
        <v>1</v>
      </c>
      <c r="C1" s="103" t="s">
        <v>2</v>
      </c>
      <c r="D1" s="103" t="s">
        <v>3</v>
      </c>
      <c r="E1" s="103" t="s">
        <v>4</v>
      </c>
      <c r="F1" s="103" t="s">
        <v>5</v>
      </c>
    </row>
    <row r="2" s="102" customFormat="1" spans="1:6">
      <c r="A2" s="104" t="s">
        <v>6</v>
      </c>
      <c r="B2" s="104"/>
      <c r="C2" s="104"/>
      <c r="D2" s="104"/>
      <c r="E2" s="104"/>
      <c r="F2" s="104"/>
    </row>
    <row r="3" spans="1:6">
      <c r="A3" s="105" t="s">
        <v>7</v>
      </c>
      <c r="B3" s="105"/>
      <c r="C3" s="105"/>
      <c r="D3" s="105"/>
      <c r="E3" s="105">
        <f>SUM(E4:E6)</f>
        <v>10368000</v>
      </c>
      <c r="F3" s="107"/>
    </row>
    <row r="4" spans="1:6">
      <c r="A4" s="106" t="s">
        <v>8</v>
      </c>
      <c r="B4" s="107" t="s">
        <v>9</v>
      </c>
      <c r="C4" s="107">
        <v>1</v>
      </c>
      <c r="D4" s="107">
        <v>18000</v>
      </c>
      <c r="E4" s="107">
        <f>D4*C4*4*12</f>
        <v>864000</v>
      </c>
      <c r="F4" s="107" t="s">
        <v>10</v>
      </c>
    </row>
    <row r="5" spans="1:6">
      <c r="A5" s="106" t="s">
        <v>11</v>
      </c>
      <c r="B5" s="107" t="s">
        <v>9</v>
      </c>
      <c r="C5" s="107">
        <v>6</v>
      </c>
      <c r="D5" s="107">
        <v>15000</v>
      </c>
      <c r="E5" s="107">
        <f>D5*C5*4*12</f>
        <v>4320000</v>
      </c>
      <c r="F5" s="107" t="s">
        <v>12</v>
      </c>
    </row>
    <row r="6" spans="1:6">
      <c r="A6" s="106" t="s">
        <v>13</v>
      </c>
      <c r="B6" s="107" t="s">
        <v>9</v>
      </c>
      <c r="C6" s="107">
        <v>12</v>
      </c>
      <c r="D6" s="107">
        <v>9000</v>
      </c>
      <c r="E6" s="107">
        <f>D6*C6*12*4</f>
        <v>5184000</v>
      </c>
      <c r="F6" s="107" t="s">
        <v>14</v>
      </c>
    </row>
    <row r="7" spans="1:6">
      <c r="A7" s="105" t="s">
        <v>15</v>
      </c>
      <c r="B7" s="105"/>
      <c r="C7" s="105"/>
      <c r="D7" s="105"/>
      <c r="E7" s="105">
        <f>SUM(E8:E19)</f>
        <v>133500</v>
      </c>
      <c r="F7" s="107"/>
    </row>
    <row r="8" spans="1:6">
      <c r="A8" s="106" t="s">
        <v>16</v>
      </c>
      <c r="B8" s="107" t="s">
        <v>17</v>
      </c>
      <c r="C8" s="107">
        <v>50</v>
      </c>
      <c r="D8" s="107">
        <v>16</v>
      </c>
      <c r="E8" s="107">
        <f>D8*C8</f>
        <v>800</v>
      </c>
      <c r="F8" s="107"/>
    </row>
    <row r="9" spans="1:6">
      <c r="A9" s="106" t="s">
        <v>18</v>
      </c>
      <c r="B9" s="107" t="s">
        <v>19</v>
      </c>
      <c r="C9" s="107">
        <v>8</v>
      </c>
      <c r="D9" s="107">
        <v>1500</v>
      </c>
      <c r="E9" s="107">
        <f t="shared" ref="E9:E19" si="0">D9*C9</f>
        <v>12000</v>
      </c>
      <c r="F9" s="107"/>
    </row>
    <row r="10" spans="1:6">
      <c r="A10" s="106" t="s">
        <v>20</v>
      </c>
      <c r="B10" s="107" t="s">
        <v>19</v>
      </c>
      <c r="C10" s="107">
        <v>2</v>
      </c>
      <c r="D10" s="107">
        <v>950</v>
      </c>
      <c r="E10" s="107">
        <f t="shared" si="0"/>
        <v>1900</v>
      </c>
      <c r="F10" s="107"/>
    </row>
    <row r="11" spans="1:6">
      <c r="A11" s="106" t="s">
        <v>21</v>
      </c>
      <c r="B11" s="107" t="s">
        <v>19</v>
      </c>
      <c r="C11" s="107">
        <v>2</v>
      </c>
      <c r="D11" s="107">
        <v>1000</v>
      </c>
      <c r="E11" s="107">
        <f t="shared" si="0"/>
        <v>2000</v>
      </c>
      <c r="F11" s="107"/>
    </row>
    <row r="12" spans="1:6">
      <c r="A12" s="106" t="s">
        <v>22</v>
      </c>
      <c r="B12" s="107" t="s">
        <v>19</v>
      </c>
      <c r="C12" s="107">
        <v>2</v>
      </c>
      <c r="D12" s="107">
        <v>5000</v>
      </c>
      <c r="E12" s="107">
        <f t="shared" si="0"/>
        <v>10000</v>
      </c>
      <c r="F12" s="107"/>
    </row>
    <row r="13" spans="1:6">
      <c r="A13" s="106" t="s">
        <v>23</v>
      </c>
      <c r="B13" s="107" t="s">
        <v>24</v>
      </c>
      <c r="C13" s="107">
        <v>1</v>
      </c>
      <c r="D13" s="107">
        <v>800</v>
      </c>
      <c r="E13" s="107">
        <f t="shared" si="0"/>
        <v>800</v>
      </c>
      <c r="F13" s="107"/>
    </row>
    <row r="14" spans="1:6">
      <c r="A14" s="106" t="s">
        <v>25</v>
      </c>
      <c r="B14" s="107" t="s">
        <v>26</v>
      </c>
      <c r="C14" s="107">
        <v>0</v>
      </c>
      <c r="D14" s="107">
        <v>0</v>
      </c>
      <c r="E14" s="107">
        <f t="shared" si="0"/>
        <v>0</v>
      </c>
      <c r="F14" s="107"/>
    </row>
    <row r="15" spans="1:6">
      <c r="A15" s="106" t="s">
        <v>27</v>
      </c>
      <c r="B15" s="107" t="s">
        <v>28</v>
      </c>
      <c r="C15" s="107">
        <v>0</v>
      </c>
      <c r="D15" s="107">
        <v>0</v>
      </c>
      <c r="E15" s="107">
        <f t="shared" si="0"/>
        <v>0</v>
      </c>
      <c r="F15" s="107"/>
    </row>
    <row r="16" spans="1:6">
      <c r="A16" s="106" t="s">
        <v>29</v>
      </c>
      <c r="B16" s="107" t="s">
        <v>30</v>
      </c>
      <c r="C16" s="107">
        <v>0</v>
      </c>
      <c r="D16" s="107">
        <v>12000</v>
      </c>
      <c r="E16" s="107">
        <f t="shared" si="0"/>
        <v>0</v>
      </c>
      <c r="F16" s="107"/>
    </row>
    <row r="17" spans="1:6">
      <c r="A17" s="106" t="s">
        <v>31</v>
      </c>
      <c r="B17" s="107" t="s">
        <v>32</v>
      </c>
      <c r="C17" s="107">
        <v>4</v>
      </c>
      <c r="D17" s="107">
        <v>25000</v>
      </c>
      <c r="E17" s="107">
        <f t="shared" si="0"/>
        <v>100000</v>
      </c>
      <c r="F17" s="107"/>
    </row>
    <row r="18" spans="1:6">
      <c r="A18" s="106" t="s">
        <v>33</v>
      </c>
      <c r="B18" s="107" t="s">
        <v>30</v>
      </c>
      <c r="C18" s="107">
        <v>10</v>
      </c>
      <c r="D18" s="107">
        <v>500</v>
      </c>
      <c r="E18" s="107">
        <f t="shared" si="0"/>
        <v>5000</v>
      </c>
      <c r="F18" s="107"/>
    </row>
    <row r="19" spans="1:6">
      <c r="A19" s="106" t="s">
        <v>34</v>
      </c>
      <c r="B19" s="107" t="s">
        <v>30</v>
      </c>
      <c r="C19" s="107">
        <v>5</v>
      </c>
      <c r="D19" s="107">
        <v>200</v>
      </c>
      <c r="E19" s="107">
        <f t="shared" si="0"/>
        <v>1000</v>
      </c>
      <c r="F19" s="107"/>
    </row>
    <row r="20" spans="1:6">
      <c r="A20" s="105" t="s">
        <v>35</v>
      </c>
      <c r="B20" s="105"/>
      <c r="C20" s="105"/>
      <c r="D20" s="105"/>
      <c r="E20" s="105">
        <f>SUM(E21:E44)</f>
        <v>277600</v>
      </c>
      <c r="F20" s="107"/>
    </row>
    <row r="21" spans="1:6">
      <c r="A21" s="106" t="s">
        <v>36</v>
      </c>
      <c r="B21" s="107" t="s">
        <v>37</v>
      </c>
      <c r="C21" s="107">
        <v>1</v>
      </c>
      <c r="D21" s="107">
        <v>400</v>
      </c>
      <c r="E21" s="107">
        <f>D21*C21</f>
        <v>400</v>
      </c>
      <c r="F21" s="107"/>
    </row>
    <row r="22" spans="1:6">
      <c r="A22" s="106" t="s">
        <v>38</v>
      </c>
      <c r="B22" s="107" t="s">
        <v>30</v>
      </c>
      <c r="C22" s="107">
        <v>1</v>
      </c>
      <c r="D22" s="107">
        <v>30000</v>
      </c>
      <c r="E22" s="107">
        <f t="shared" ref="E22:E44" si="1">D22*C22</f>
        <v>30000</v>
      </c>
      <c r="F22" s="107"/>
    </row>
    <row r="23" spans="1:6">
      <c r="A23" s="106" t="s">
        <v>39</v>
      </c>
      <c r="B23" s="107" t="s">
        <v>30</v>
      </c>
      <c r="C23" s="107">
        <v>1</v>
      </c>
      <c r="D23" s="107">
        <v>2000</v>
      </c>
      <c r="E23" s="107">
        <f t="shared" si="1"/>
        <v>2000</v>
      </c>
      <c r="F23" s="107"/>
    </row>
    <row r="24" spans="1:6">
      <c r="A24" s="106" t="s">
        <v>40</v>
      </c>
      <c r="B24" s="107" t="s">
        <v>30</v>
      </c>
      <c r="C24" s="107">
        <v>1</v>
      </c>
      <c r="D24" s="107">
        <v>500</v>
      </c>
      <c r="E24" s="107">
        <f t="shared" si="1"/>
        <v>500</v>
      </c>
      <c r="F24" s="107"/>
    </row>
    <row r="25" spans="1:6">
      <c r="A25" s="106" t="s">
        <v>41</v>
      </c>
      <c r="B25" s="107" t="s">
        <v>42</v>
      </c>
      <c r="C25" s="107">
        <v>4</v>
      </c>
      <c r="D25" s="107">
        <v>1600</v>
      </c>
      <c r="E25" s="107">
        <f t="shared" si="1"/>
        <v>6400</v>
      </c>
      <c r="F25" s="107"/>
    </row>
    <row r="26" spans="1:6">
      <c r="A26" s="106" t="s">
        <v>43</v>
      </c>
      <c r="B26" s="107" t="s">
        <v>44</v>
      </c>
      <c r="C26" s="107">
        <v>2</v>
      </c>
      <c r="D26" s="107">
        <v>7800</v>
      </c>
      <c r="E26" s="107">
        <f t="shared" si="1"/>
        <v>15600</v>
      </c>
      <c r="F26" s="107"/>
    </row>
    <row r="27" spans="1:6">
      <c r="A27" s="106" t="s">
        <v>45</v>
      </c>
      <c r="B27" s="107" t="s">
        <v>46</v>
      </c>
      <c r="C27" s="107">
        <v>4</v>
      </c>
      <c r="D27" s="107">
        <v>6000</v>
      </c>
      <c r="E27" s="107">
        <f t="shared" si="1"/>
        <v>24000</v>
      </c>
      <c r="F27" s="107"/>
    </row>
    <row r="28" spans="1:6">
      <c r="A28" s="106" t="s">
        <v>47</v>
      </c>
      <c r="B28" s="107" t="s">
        <v>46</v>
      </c>
      <c r="C28" s="107">
        <v>4</v>
      </c>
      <c r="D28" s="107">
        <v>75</v>
      </c>
      <c r="E28" s="107">
        <f t="shared" si="1"/>
        <v>300</v>
      </c>
      <c r="F28" s="107"/>
    </row>
    <row r="29" spans="1:6">
      <c r="A29" s="106" t="s">
        <v>48</v>
      </c>
      <c r="B29" s="107" t="s">
        <v>46</v>
      </c>
      <c r="C29" s="107">
        <v>4</v>
      </c>
      <c r="D29" s="107">
        <v>100</v>
      </c>
      <c r="E29" s="107">
        <f t="shared" si="1"/>
        <v>400</v>
      </c>
      <c r="F29" s="107"/>
    </row>
    <row r="30" spans="1:6">
      <c r="A30" s="106" t="s">
        <v>49</v>
      </c>
      <c r="B30" s="107" t="s">
        <v>30</v>
      </c>
      <c r="C30" s="107">
        <v>1</v>
      </c>
      <c r="D30" s="107">
        <v>1700</v>
      </c>
      <c r="E30" s="107">
        <f t="shared" si="1"/>
        <v>1700</v>
      </c>
      <c r="F30" s="107"/>
    </row>
    <row r="31" spans="1:6">
      <c r="A31" s="106" t="s">
        <v>50</v>
      </c>
      <c r="B31" s="107" t="s">
        <v>51</v>
      </c>
      <c r="C31" s="107">
        <v>1</v>
      </c>
      <c r="D31" s="107">
        <v>1400</v>
      </c>
      <c r="E31" s="107">
        <f t="shared" si="1"/>
        <v>1400</v>
      </c>
      <c r="F31" s="107"/>
    </row>
    <row r="32" spans="1:6">
      <c r="A32" s="106" t="s">
        <v>52</v>
      </c>
      <c r="B32" s="107" t="s">
        <v>53</v>
      </c>
      <c r="C32" s="107">
        <v>5</v>
      </c>
      <c r="D32" s="107">
        <v>5000</v>
      </c>
      <c r="E32" s="107">
        <f t="shared" si="1"/>
        <v>25000</v>
      </c>
      <c r="F32" s="107"/>
    </row>
    <row r="33" spans="1:6">
      <c r="A33" s="106" t="s">
        <v>54</v>
      </c>
      <c r="B33" s="107" t="s">
        <v>46</v>
      </c>
      <c r="C33" s="107">
        <v>4</v>
      </c>
      <c r="D33" s="107">
        <v>7000</v>
      </c>
      <c r="E33" s="107">
        <f t="shared" si="1"/>
        <v>28000</v>
      </c>
      <c r="F33" s="107"/>
    </row>
    <row r="34" spans="1:6">
      <c r="A34" s="106" t="s">
        <v>55</v>
      </c>
      <c r="B34" s="107" t="s">
        <v>46</v>
      </c>
      <c r="C34" s="107">
        <v>1</v>
      </c>
      <c r="D34" s="107">
        <v>2500</v>
      </c>
      <c r="E34" s="107">
        <f t="shared" si="1"/>
        <v>2500</v>
      </c>
      <c r="F34" s="107"/>
    </row>
    <row r="35" spans="1:6">
      <c r="A35" s="106" t="s">
        <v>56</v>
      </c>
      <c r="B35" s="107" t="s">
        <v>46</v>
      </c>
      <c r="C35" s="107">
        <v>1</v>
      </c>
      <c r="D35" s="107">
        <v>10000</v>
      </c>
      <c r="E35" s="107">
        <f t="shared" si="1"/>
        <v>10000</v>
      </c>
      <c r="F35" s="107"/>
    </row>
    <row r="36" spans="1:6">
      <c r="A36" s="106" t="s">
        <v>57</v>
      </c>
      <c r="B36" s="107" t="s">
        <v>46</v>
      </c>
      <c r="C36" s="107">
        <v>1</v>
      </c>
      <c r="D36" s="107">
        <v>800</v>
      </c>
      <c r="E36" s="107">
        <f t="shared" si="1"/>
        <v>800</v>
      </c>
      <c r="F36" s="107"/>
    </row>
    <row r="37" spans="1:6">
      <c r="A37" s="106" t="s">
        <v>58</v>
      </c>
      <c r="B37" s="107" t="s">
        <v>30</v>
      </c>
      <c r="C37" s="107">
        <v>5</v>
      </c>
      <c r="D37" s="107">
        <v>500</v>
      </c>
      <c r="E37" s="107">
        <f t="shared" si="1"/>
        <v>2500</v>
      </c>
      <c r="F37" s="107"/>
    </row>
    <row r="38" spans="1:6">
      <c r="A38" s="106" t="s">
        <v>59</v>
      </c>
      <c r="B38" s="107" t="s">
        <v>30</v>
      </c>
      <c r="C38" s="107">
        <v>1</v>
      </c>
      <c r="D38" s="107">
        <v>2100</v>
      </c>
      <c r="E38" s="107">
        <f t="shared" si="1"/>
        <v>2100</v>
      </c>
      <c r="F38" s="107"/>
    </row>
    <row r="39" spans="1:6">
      <c r="A39" s="106" t="s">
        <v>60</v>
      </c>
      <c r="B39" s="107" t="s">
        <v>30</v>
      </c>
      <c r="C39" s="107">
        <v>1</v>
      </c>
      <c r="D39" s="107">
        <v>1000</v>
      </c>
      <c r="E39" s="107">
        <f t="shared" si="1"/>
        <v>1000</v>
      </c>
      <c r="F39" s="107"/>
    </row>
    <row r="40" spans="1:6">
      <c r="A40" s="106" t="s">
        <v>61</v>
      </c>
      <c r="B40" s="107" t="s">
        <v>30</v>
      </c>
      <c r="C40" s="107">
        <v>1</v>
      </c>
      <c r="D40" s="107">
        <v>3000</v>
      </c>
      <c r="E40" s="107">
        <f t="shared" si="1"/>
        <v>3000</v>
      </c>
      <c r="F40" s="107"/>
    </row>
    <row r="41" spans="1:6">
      <c r="A41" s="106" t="s">
        <v>62</v>
      </c>
      <c r="B41" s="107" t="s">
        <v>30</v>
      </c>
      <c r="C41" s="107">
        <v>4</v>
      </c>
      <c r="D41" s="107">
        <v>500</v>
      </c>
      <c r="E41" s="107">
        <f t="shared" si="1"/>
        <v>2000</v>
      </c>
      <c r="F41" s="107"/>
    </row>
    <row r="42" spans="1:6">
      <c r="A42" s="106" t="s">
        <v>63</v>
      </c>
      <c r="B42" s="107" t="s">
        <v>30</v>
      </c>
      <c r="C42" s="107">
        <v>1</v>
      </c>
      <c r="D42" s="107">
        <v>65000</v>
      </c>
      <c r="E42" s="107">
        <f t="shared" si="1"/>
        <v>65000</v>
      </c>
      <c r="F42" s="107"/>
    </row>
    <row r="43" spans="1:6">
      <c r="A43" s="106" t="s">
        <v>64</v>
      </c>
      <c r="B43" s="107" t="s">
        <v>30</v>
      </c>
      <c r="C43" s="107">
        <v>1</v>
      </c>
      <c r="D43" s="107">
        <v>3000</v>
      </c>
      <c r="E43" s="107">
        <f t="shared" si="1"/>
        <v>3000</v>
      </c>
      <c r="F43" s="107"/>
    </row>
    <row r="44" spans="1:6">
      <c r="A44" s="106" t="s">
        <v>65</v>
      </c>
      <c r="B44" s="107" t="s">
        <v>66</v>
      </c>
      <c r="C44" s="107">
        <v>1</v>
      </c>
      <c r="D44" s="107">
        <v>50000</v>
      </c>
      <c r="E44" s="107">
        <f t="shared" si="1"/>
        <v>50000</v>
      </c>
      <c r="F44" s="107"/>
    </row>
    <row r="45" spans="1:6">
      <c r="A45" s="105">
        <v>1</v>
      </c>
      <c r="B45" s="105"/>
      <c r="C45" s="105"/>
      <c r="D45" s="105"/>
      <c r="E45" s="105">
        <f>SUM(E46:E50)</f>
        <v>516000</v>
      </c>
      <c r="F45" s="107" t="s">
        <v>67</v>
      </c>
    </row>
    <row r="46" spans="1:6">
      <c r="A46" s="106" t="s">
        <v>68</v>
      </c>
      <c r="B46" s="107" t="s">
        <v>69</v>
      </c>
      <c r="C46" s="107">
        <v>5</v>
      </c>
      <c r="D46" s="107">
        <v>10000</v>
      </c>
      <c r="E46" s="107">
        <f>D46*C46</f>
        <v>50000</v>
      </c>
      <c r="F46" s="107"/>
    </row>
    <row r="47" spans="1:6">
      <c r="A47" s="106" t="s">
        <v>70</v>
      </c>
      <c r="B47" s="107" t="s">
        <v>69</v>
      </c>
      <c r="C47" s="107">
        <v>3</v>
      </c>
      <c r="D47" s="107">
        <v>100000</v>
      </c>
      <c r="E47" s="107">
        <f>D47*C47</f>
        <v>300000</v>
      </c>
      <c r="F47" s="107"/>
    </row>
    <row r="48" spans="1:6">
      <c r="A48" s="106" t="s">
        <v>71</v>
      </c>
      <c r="B48" s="107" t="s">
        <v>72</v>
      </c>
      <c r="C48" s="107">
        <v>8</v>
      </c>
      <c r="D48" s="107">
        <v>7000</v>
      </c>
      <c r="E48" s="107">
        <f>D48*C48</f>
        <v>56000</v>
      </c>
      <c r="F48" s="107"/>
    </row>
    <row r="49" spans="1:6">
      <c r="A49" s="106" t="s">
        <v>73</v>
      </c>
      <c r="B49" s="107" t="s">
        <v>74</v>
      </c>
      <c r="C49" s="107">
        <v>3</v>
      </c>
      <c r="D49" s="107">
        <v>10000</v>
      </c>
      <c r="E49" s="107">
        <f>D49*C49</f>
        <v>30000</v>
      </c>
      <c r="F49" s="107"/>
    </row>
    <row r="50" spans="1:6">
      <c r="A50" s="106" t="s">
        <v>75</v>
      </c>
      <c r="B50" s="107" t="s">
        <v>74</v>
      </c>
      <c r="C50" s="107">
        <v>4</v>
      </c>
      <c r="D50" s="107">
        <v>20000</v>
      </c>
      <c r="E50" s="107">
        <f>D50*C50</f>
        <v>80000</v>
      </c>
      <c r="F50" s="107"/>
    </row>
    <row r="51" spans="1:6">
      <c r="A51" s="105" t="s">
        <v>76</v>
      </c>
      <c r="B51" s="105"/>
      <c r="C51" s="105"/>
      <c r="D51" s="105"/>
      <c r="E51" s="105">
        <f>SUM(E52)</f>
        <v>50000</v>
      </c>
      <c r="F51" s="107"/>
    </row>
    <row r="52" spans="1:6">
      <c r="A52" s="106" t="s">
        <v>77</v>
      </c>
      <c r="B52" s="107" t="s">
        <v>32</v>
      </c>
      <c r="C52" s="107">
        <v>4</v>
      </c>
      <c r="D52" s="107">
        <v>12500</v>
      </c>
      <c r="E52" s="107">
        <f>D52*C52</f>
        <v>50000</v>
      </c>
      <c r="F52" s="107"/>
    </row>
    <row r="53" spans="1:6">
      <c r="A53" s="105" t="s">
        <v>78</v>
      </c>
      <c r="B53" s="105"/>
      <c r="C53" s="105"/>
      <c r="D53" s="105"/>
      <c r="E53" s="105">
        <f>SUM(E54)</f>
        <v>20000</v>
      </c>
      <c r="F53" s="107"/>
    </row>
    <row r="54" spans="1:6">
      <c r="A54" s="106" t="s">
        <v>79</v>
      </c>
      <c r="B54" s="107" t="s">
        <v>80</v>
      </c>
      <c r="C54" s="107">
        <v>4</v>
      </c>
      <c r="D54" s="107">
        <v>5000</v>
      </c>
      <c r="E54" s="107">
        <f>D54*C54</f>
        <v>20000</v>
      </c>
      <c r="F54" s="107"/>
    </row>
    <row r="55" spans="1:6">
      <c r="A55" s="105" t="s">
        <v>81</v>
      </c>
      <c r="B55" s="105"/>
      <c r="C55" s="105"/>
      <c r="D55" s="105"/>
      <c r="E55" s="105">
        <v>30000</v>
      </c>
      <c r="F55" s="107" t="s">
        <v>82</v>
      </c>
    </row>
    <row r="56" spans="1:6">
      <c r="A56" s="108" t="s">
        <v>83</v>
      </c>
      <c r="B56" s="107" t="s">
        <v>84</v>
      </c>
      <c r="C56" s="107"/>
      <c r="D56" s="107"/>
      <c r="E56" s="108">
        <v>150000</v>
      </c>
      <c r="F56" s="107" t="s">
        <v>85</v>
      </c>
    </row>
    <row r="57" spans="1:6">
      <c r="A57" s="109" t="s">
        <v>86</v>
      </c>
      <c r="B57" s="109"/>
      <c r="C57" s="109"/>
      <c r="D57" s="109" t="s">
        <v>87</v>
      </c>
      <c r="E57" s="109">
        <f>SUM(E3,E7,E20,E45,E51,E53,E55,E56)</f>
        <v>11545100</v>
      </c>
      <c r="F57" s="107"/>
    </row>
  </sheetData>
  <mergeCells count="7">
    <mergeCell ref="A3:D3"/>
    <mergeCell ref="A7:D7"/>
    <mergeCell ref="A20:D20"/>
    <mergeCell ref="A45:D45"/>
    <mergeCell ref="A51:D51"/>
    <mergeCell ref="A53:D53"/>
    <mergeCell ref="A55:D5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4"/>
  <sheetViews>
    <sheetView tabSelected="1" zoomScale="160" zoomScaleNormal="160" topLeftCell="A137" workbookViewId="0">
      <selection activeCell="B141" sqref="B141"/>
    </sheetView>
  </sheetViews>
  <sheetFormatPr defaultColWidth="9" defaultRowHeight="14.25" outlineLevelCol="6"/>
  <cols>
    <col min="2" max="2" width="59.6083333333333" customWidth="1"/>
    <col min="3" max="3" width="13.3583333333333" customWidth="1"/>
    <col min="5" max="5" width="15" customWidth="1"/>
    <col min="6" max="6" width="17.0333333333333" customWidth="1"/>
    <col min="7" max="7" width="21.0166666666667" customWidth="1"/>
  </cols>
  <sheetData>
    <row r="1" ht="16.5" spans="1:7">
      <c r="A1" s="1" t="s">
        <v>88</v>
      </c>
      <c r="B1" s="1"/>
      <c r="C1" s="1"/>
      <c r="D1" s="1"/>
      <c r="E1" s="1"/>
      <c r="F1" s="1"/>
      <c r="G1" s="1"/>
    </row>
    <row r="2" ht="15" spans="1:7">
      <c r="A2" s="2" t="s">
        <v>89</v>
      </c>
      <c r="B2" s="2"/>
      <c r="C2" s="2"/>
      <c r="D2" s="3">
        <f>G174+G181+G188</f>
        <v>1158400000</v>
      </c>
      <c r="E2" s="17"/>
      <c r="F2" s="17" t="s">
        <v>90</v>
      </c>
      <c r="G2" s="17"/>
    </row>
    <row r="3" ht="15" spans="1:7">
      <c r="A3" s="4" t="s">
        <v>91</v>
      </c>
      <c r="B3" s="2"/>
      <c r="C3" s="2"/>
      <c r="D3" s="2"/>
      <c r="E3" s="2"/>
      <c r="F3" s="18"/>
      <c r="G3" s="2"/>
    </row>
    <row r="4" ht="15" spans="1:7">
      <c r="A4" s="5"/>
      <c r="B4" s="6" t="s">
        <v>92</v>
      </c>
      <c r="C4" s="6"/>
      <c r="D4" s="6"/>
      <c r="E4" s="19">
        <v>40000000</v>
      </c>
      <c r="F4" s="20" t="s">
        <v>93</v>
      </c>
      <c r="G4" s="21"/>
    </row>
    <row r="5" ht="99.75" spans="1:7">
      <c r="A5" s="7" t="s">
        <v>94</v>
      </c>
      <c r="B5" s="7" t="s">
        <v>95</v>
      </c>
      <c r="C5" s="7" t="s">
        <v>96</v>
      </c>
      <c r="D5" s="7" t="s">
        <v>97</v>
      </c>
      <c r="E5" s="7" t="s">
        <v>98</v>
      </c>
      <c r="F5" s="22" t="s">
        <v>99</v>
      </c>
      <c r="G5" s="23" t="s">
        <v>100</v>
      </c>
    </row>
    <row r="6" spans="1:7">
      <c r="A6" s="8">
        <v>1</v>
      </c>
      <c r="B6" s="8">
        <v>2</v>
      </c>
      <c r="C6" s="8">
        <v>3</v>
      </c>
      <c r="D6" s="8">
        <v>4</v>
      </c>
      <c r="E6" s="8">
        <v>5</v>
      </c>
      <c r="F6" s="24">
        <v>6</v>
      </c>
      <c r="G6" s="25" t="s">
        <v>101</v>
      </c>
    </row>
    <row r="7" ht="57" spans="1:7">
      <c r="A7" s="7" t="s">
        <v>102</v>
      </c>
      <c r="B7" s="9" t="s">
        <v>103</v>
      </c>
      <c r="C7" s="10" t="s">
        <v>104</v>
      </c>
      <c r="D7" s="10"/>
      <c r="E7" s="10"/>
      <c r="F7" s="10"/>
      <c r="G7" s="10"/>
    </row>
    <row r="8" spans="1:7">
      <c r="A8" s="7" t="s">
        <v>105</v>
      </c>
      <c r="B8" s="9" t="s">
        <v>106</v>
      </c>
      <c r="C8" s="7"/>
      <c r="D8" s="7"/>
      <c r="E8" s="26"/>
      <c r="F8" s="22"/>
      <c r="G8" s="27">
        <f>SUM(G9,G22,G47,G77,G93,G125,G167,G170)</f>
        <v>1158400000</v>
      </c>
    </row>
    <row r="9" spans="1:7">
      <c r="A9" s="11">
        <v>1</v>
      </c>
      <c r="B9" s="12" t="s">
        <v>107</v>
      </c>
      <c r="C9" s="13"/>
      <c r="D9" s="13"/>
      <c r="E9" s="28"/>
      <c r="F9" s="29"/>
      <c r="G9" s="30">
        <f>SUM(G10,G16)</f>
        <v>96000000</v>
      </c>
    </row>
    <row r="10" spans="1:7">
      <c r="A10" s="14" t="s">
        <v>108</v>
      </c>
      <c r="B10" s="15" t="s">
        <v>109</v>
      </c>
      <c r="C10" s="16"/>
      <c r="D10" s="16"/>
      <c r="E10" s="31"/>
      <c r="F10" s="32">
        <f>SUM(F11,F13)</f>
        <v>2</v>
      </c>
      <c r="G10" s="33">
        <f>SUM(G11,G13)</f>
        <v>40000000</v>
      </c>
    </row>
    <row r="11" spans="1:7">
      <c r="A11" s="14" t="s">
        <v>110</v>
      </c>
      <c r="B11" s="15" t="s">
        <v>111</v>
      </c>
      <c r="C11" s="14"/>
      <c r="D11" s="14"/>
      <c r="E11" s="34"/>
      <c r="F11" s="35">
        <f>F12</f>
        <v>0.5</v>
      </c>
      <c r="G11" s="36">
        <f>G12</f>
        <v>16000000</v>
      </c>
    </row>
    <row r="12" spans="1:7">
      <c r="A12" s="16"/>
      <c r="B12" s="10" t="s">
        <v>112</v>
      </c>
      <c r="C12" s="16">
        <v>0.8</v>
      </c>
      <c r="D12" s="16">
        <v>1</v>
      </c>
      <c r="E12" s="37">
        <f>$E$4</f>
        <v>40000000</v>
      </c>
      <c r="F12" s="38">
        <v>0.5</v>
      </c>
      <c r="G12" s="39">
        <f t="shared" ref="G12:G15" si="0">C12*E12*F12</f>
        <v>16000000</v>
      </c>
    </row>
    <row r="13" spans="1:7">
      <c r="A13" s="14" t="s">
        <v>113</v>
      </c>
      <c r="B13" s="15" t="s">
        <v>114</v>
      </c>
      <c r="C13" s="14"/>
      <c r="D13" s="14"/>
      <c r="E13" s="34"/>
      <c r="F13" s="35">
        <f>SUM(F14:F15)</f>
        <v>1.5</v>
      </c>
      <c r="G13" s="36">
        <f>SUM(G14:G15)</f>
        <v>24000000</v>
      </c>
    </row>
    <row r="14" spans="1:7">
      <c r="A14" s="16"/>
      <c r="B14" s="10" t="s">
        <v>115</v>
      </c>
      <c r="C14" s="16">
        <v>0.4</v>
      </c>
      <c r="D14" s="16">
        <v>1</v>
      </c>
      <c r="E14" s="37">
        <f>$E$4</f>
        <v>40000000</v>
      </c>
      <c r="F14" s="38">
        <v>0.5</v>
      </c>
      <c r="G14" s="39">
        <f t="shared" si="0"/>
        <v>8000000</v>
      </c>
    </row>
    <row r="15" spans="1:7">
      <c r="A15" s="16"/>
      <c r="B15" s="10" t="s">
        <v>116</v>
      </c>
      <c r="C15" s="16">
        <v>0.4</v>
      </c>
      <c r="D15" s="16">
        <v>1</v>
      </c>
      <c r="E15" s="37">
        <f>$E$4</f>
        <v>40000000</v>
      </c>
      <c r="F15" s="38">
        <v>1</v>
      </c>
      <c r="G15" s="39">
        <f t="shared" si="0"/>
        <v>16000000</v>
      </c>
    </row>
    <row r="16" spans="1:7">
      <c r="A16" s="14" t="s">
        <v>117</v>
      </c>
      <c r="B16" s="15" t="s">
        <v>118</v>
      </c>
      <c r="C16" s="16"/>
      <c r="D16" s="16"/>
      <c r="E16" s="31"/>
      <c r="F16" s="32">
        <f>SUM(F17,F19)</f>
        <v>2</v>
      </c>
      <c r="G16" s="33">
        <f>SUM(G17,G19)</f>
        <v>56000000</v>
      </c>
    </row>
    <row r="17" spans="1:7">
      <c r="A17" s="14" t="s">
        <v>119</v>
      </c>
      <c r="B17" s="15" t="s">
        <v>111</v>
      </c>
      <c r="C17" s="14"/>
      <c r="D17" s="14"/>
      <c r="E17" s="34"/>
      <c r="F17" s="35">
        <v>0.5</v>
      </c>
      <c r="G17" s="36">
        <f>G18</f>
        <v>32000000</v>
      </c>
    </row>
    <row r="18" spans="1:7">
      <c r="A18" s="16"/>
      <c r="B18" s="10" t="str">
        <f>B12</f>
        <v>PGS.TS. Hà Thị Hằng</v>
      </c>
      <c r="C18" s="16">
        <v>0.8</v>
      </c>
      <c r="D18" s="16">
        <v>1</v>
      </c>
      <c r="E18" s="37">
        <f>$E$4</f>
        <v>40000000</v>
      </c>
      <c r="F18" s="38">
        <v>1</v>
      </c>
      <c r="G18" s="39">
        <f t="shared" ref="G18:G21" si="1">C18*E18*F18</f>
        <v>32000000</v>
      </c>
    </row>
    <row r="19" spans="1:7">
      <c r="A19" s="14" t="s">
        <v>120</v>
      </c>
      <c r="B19" s="15" t="s">
        <v>114</v>
      </c>
      <c r="C19" s="14"/>
      <c r="D19" s="14"/>
      <c r="E19" s="34"/>
      <c r="F19" s="35">
        <f>SUM(F20:F21)</f>
        <v>1.5</v>
      </c>
      <c r="G19" s="36">
        <f>SUM(G20:G21)</f>
        <v>24000000</v>
      </c>
    </row>
    <row r="20" spans="1:7">
      <c r="A20" s="16"/>
      <c r="B20" s="10" t="s">
        <v>121</v>
      </c>
      <c r="C20" s="16">
        <v>0.4</v>
      </c>
      <c r="D20" s="16">
        <v>1</v>
      </c>
      <c r="E20" s="37">
        <f>$E$4</f>
        <v>40000000</v>
      </c>
      <c r="F20" s="38">
        <v>0.5</v>
      </c>
      <c r="G20" s="39">
        <f t="shared" si="1"/>
        <v>8000000</v>
      </c>
    </row>
    <row r="21" spans="1:7">
      <c r="A21" s="16"/>
      <c r="B21" s="10" t="s">
        <v>122</v>
      </c>
      <c r="C21" s="16">
        <v>0.4</v>
      </c>
      <c r="D21" s="16">
        <v>1</v>
      </c>
      <c r="E21" s="37">
        <f>$E$4</f>
        <v>40000000</v>
      </c>
      <c r="F21" s="38">
        <v>1</v>
      </c>
      <c r="G21" s="39">
        <f t="shared" si="1"/>
        <v>16000000</v>
      </c>
    </row>
    <row r="22" spans="1:7">
      <c r="A22" s="11">
        <v>2</v>
      </c>
      <c r="B22" s="12" t="s">
        <v>123</v>
      </c>
      <c r="C22" s="13"/>
      <c r="D22" s="13"/>
      <c r="E22" s="28"/>
      <c r="F22" s="29"/>
      <c r="G22" s="30">
        <f>G23+G31+G40</f>
        <v>104000000</v>
      </c>
    </row>
    <row r="23" spans="1:7">
      <c r="A23" s="14" t="s">
        <v>124</v>
      </c>
      <c r="B23" s="15" t="s">
        <v>125</v>
      </c>
      <c r="C23" s="16"/>
      <c r="D23" s="16"/>
      <c r="E23" s="31"/>
      <c r="F23" s="40">
        <f>SUM(F24,F26,F29)</f>
        <v>2</v>
      </c>
      <c r="G23" s="36">
        <f>SUM(G24,G26,G29)</f>
        <v>36000000</v>
      </c>
    </row>
    <row r="24" spans="1:7">
      <c r="A24" s="14" t="s">
        <v>126</v>
      </c>
      <c r="B24" s="15" t="s">
        <v>111</v>
      </c>
      <c r="C24" s="14"/>
      <c r="D24" s="14"/>
      <c r="E24" s="34"/>
      <c r="F24" s="35">
        <f>F25</f>
        <v>0.5</v>
      </c>
      <c r="G24" s="36">
        <f>G25</f>
        <v>16000000</v>
      </c>
    </row>
    <row r="25" spans="1:7">
      <c r="A25" s="16"/>
      <c r="B25" s="10" t="s">
        <v>122</v>
      </c>
      <c r="C25" s="16">
        <v>0.8</v>
      </c>
      <c r="D25" s="16">
        <v>1</v>
      </c>
      <c r="E25" s="37">
        <f>$E$4</f>
        <v>40000000</v>
      </c>
      <c r="F25" s="38">
        <v>0.5</v>
      </c>
      <c r="G25" s="39">
        <f t="shared" ref="G25:G28" si="2">C25*E25*F25</f>
        <v>16000000</v>
      </c>
    </row>
    <row r="26" spans="1:7">
      <c r="A26" s="14" t="s">
        <v>127</v>
      </c>
      <c r="B26" s="15" t="s">
        <v>114</v>
      </c>
      <c r="C26" s="14"/>
      <c r="D26" s="14"/>
      <c r="E26" s="34"/>
      <c r="F26" s="35">
        <f>SUM(F27:F28)</f>
        <v>1</v>
      </c>
      <c r="G26" s="36">
        <f>SUM(G27:G28)</f>
        <v>16000000</v>
      </c>
    </row>
    <row r="27" spans="1:7">
      <c r="A27" s="16"/>
      <c r="B27" s="10" t="s">
        <v>128</v>
      </c>
      <c r="C27" s="16">
        <v>0.4</v>
      </c>
      <c r="D27" s="16">
        <v>1</v>
      </c>
      <c r="E27" s="37">
        <f>$E$4</f>
        <v>40000000</v>
      </c>
      <c r="F27" s="38">
        <v>0.5</v>
      </c>
      <c r="G27" s="39">
        <f t="shared" si="2"/>
        <v>8000000</v>
      </c>
    </row>
    <row r="28" spans="1:7">
      <c r="A28" s="16"/>
      <c r="B28" s="10" t="s">
        <v>129</v>
      </c>
      <c r="C28" s="16">
        <v>0.4</v>
      </c>
      <c r="D28" s="16">
        <v>1</v>
      </c>
      <c r="E28" s="37">
        <f>$E$4</f>
        <v>40000000</v>
      </c>
      <c r="F28" s="38">
        <v>0.5</v>
      </c>
      <c r="G28" s="39">
        <f t="shared" si="2"/>
        <v>8000000</v>
      </c>
    </row>
    <row r="29" spans="1:7">
      <c r="A29" s="14" t="s">
        <v>130</v>
      </c>
      <c r="B29" s="15" t="s">
        <v>131</v>
      </c>
      <c r="C29" s="14"/>
      <c r="D29" s="14"/>
      <c r="E29" s="34"/>
      <c r="F29" s="35">
        <f>SUM(F30:F30)</f>
        <v>0.5</v>
      </c>
      <c r="G29" s="36">
        <f>SUM(G30:G30)</f>
        <v>4000000</v>
      </c>
    </row>
    <row r="30" spans="1:7">
      <c r="A30" s="16"/>
      <c r="B30" s="10" t="s">
        <v>121</v>
      </c>
      <c r="C30" s="16">
        <v>0.2</v>
      </c>
      <c r="D30" s="16">
        <v>1</v>
      </c>
      <c r="E30" s="37">
        <f>$E$4</f>
        <v>40000000</v>
      </c>
      <c r="F30" s="38">
        <v>0.5</v>
      </c>
      <c r="G30" s="39">
        <f t="shared" ref="G30:G36" si="3">C30*E30*F30</f>
        <v>4000000</v>
      </c>
    </row>
    <row r="31" spans="1:7">
      <c r="A31" s="14" t="s">
        <v>132</v>
      </c>
      <c r="B31" s="15" t="s">
        <v>133</v>
      </c>
      <c r="C31" s="16"/>
      <c r="D31" s="16"/>
      <c r="E31" s="31"/>
      <c r="F31" s="40">
        <f>SUM(F32,F34,F37)</f>
        <v>2.5</v>
      </c>
      <c r="G31" s="36">
        <f>SUM(G32,G34,G37)</f>
        <v>40000000</v>
      </c>
    </row>
    <row r="32" spans="1:7">
      <c r="A32" s="14" t="s">
        <v>134</v>
      </c>
      <c r="B32" s="15" t="s">
        <v>111</v>
      </c>
      <c r="C32" s="14"/>
      <c r="D32" s="14"/>
      <c r="E32" s="34"/>
      <c r="F32" s="35">
        <f>F33</f>
        <v>0.5</v>
      </c>
      <c r="G32" s="36">
        <f>G33</f>
        <v>16000000</v>
      </c>
    </row>
    <row r="33" spans="1:7">
      <c r="A33" s="16"/>
      <c r="B33" s="10" t="str">
        <f>B25</f>
        <v>TS. Nguyễn Phương Lâm</v>
      </c>
      <c r="C33" s="16">
        <v>0.8</v>
      </c>
      <c r="D33" s="16">
        <v>1</v>
      </c>
      <c r="E33" s="37">
        <f>$E$4</f>
        <v>40000000</v>
      </c>
      <c r="F33" s="38">
        <v>0.5</v>
      </c>
      <c r="G33" s="39">
        <f t="shared" si="3"/>
        <v>16000000</v>
      </c>
    </row>
    <row r="34" spans="1:7">
      <c r="A34" s="14" t="s">
        <v>135</v>
      </c>
      <c r="B34" s="15" t="s">
        <v>114</v>
      </c>
      <c r="C34" s="14"/>
      <c r="D34" s="14"/>
      <c r="E34" s="34"/>
      <c r="F34" s="35">
        <f>SUM(F35:F36)</f>
        <v>1</v>
      </c>
      <c r="G34" s="36">
        <f>SUM(G35:G36)</f>
        <v>16000000</v>
      </c>
    </row>
    <row r="35" spans="1:7">
      <c r="A35" s="16"/>
      <c r="B35" s="10" t="s">
        <v>129</v>
      </c>
      <c r="C35" s="16">
        <v>0.4</v>
      </c>
      <c r="D35" s="16">
        <v>1</v>
      </c>
      <c r="E35" s="37">
        <f>$E$4</f>
        <v>40000000</v>
      </c>
      <c r="F35" s="38">
        <v>0.5</v>
      </c>
      <c r="G35" s="39">
        <f t="shared" si="3"/>
        <v>8000000</v>
      </c>
    </row>
    <row r="36" spans="1:7">
      <c r="A36" s="16"/>
      <c r="B36" s="10" t="s">
        <v>115</v>
      </c>
      <c r="C36" s="16">
        <v>0.4</v>
      </c>
      <c r="D36" s="16">
        <v>1</v>
      </c>
      <c r="E36" s="37">
        <f>$E$4</f>
        <v>40000000</v>
      </c>
      <c r="F36" s="38">
        <v>0.5</v>
      </c>
      <c r="G36" s="39">
        <f t="shared" si="3"/>
        <v>8000000</v>
      </c>
    </row>
    <row r="37" spans="1:7">
      <c r="A37" s="14" t="s">
        <v>136</v>
      </c>
      <c r="B37" s="15" t="s">
        <v>131</v>
      </c>
      <c r="C37" s="14"/>
      <c r="D37" s="14"/>
      <c r="E37" s="34"/>
      <c r="F37" s="35">
        <f>SUM(F38:F39)</f>
        <v>1</v>
      </c>
      <c r="G37" s="36">
        <f>SUM(G38:G39)</f>
        <v>8000000</v>
      </c>
    </row>
    <row r="38" spans="1:7">
      <c r="A38" s="16"/>
      <c r="B38" s="10" t="s">
        <v>121</v>
      </c>
      <c r="C38" s="16">
        <v>0.2</v>
      </c>
      <c r="D38" s="16">
        <v>1</v>
      </c>
      <c r="E38" s="37">
        <f>$E$4</f>
        <v>40000000</v>
      </c>
      <c r="F38" s="38">
        <v>0.5</v>
      </c>
      <c r="G38" s="39">
        <f t="shared" ref="G38:G42" si="4">C38*E38*F38</f>
        <v>4000000</v>
      </c>
    </row>
    <row r="39" spans="1:7">
      <c r="A39" s="16"/>
      <c r="B39" s="10" t="s">
        <v>116</v>
      </c>
      <c r="C39" s="16">
        <v>0.2</v>
      </c>
      <c r="D39" s="16">
        <v>1</v>
      </c>
      <c r="E39" s="37">
        <f>$E$4</f>
        <v>40000000</v>
      </c>
      <c r="F39" s="38">
        <v>0.5</v>
      </c>
      <c r="G39" s="39">
        <f t="shared" si="4"/>
        <v>4000000</v>
      </c>
    </row>
    <row r="40" spans="1:7">
      <c r="A40" s="14">
        <v>2.3</v>
      </c>
      <c r="B40" s="15" t="s">
        <v>137</v>
      </c>
      <c r="C40" s="16"/>
      <c r="D40" s="16"/>
      <c r="E40" s="31"/>
      <c r="F40" s="40">
        <f>SUM(F41,F43,F45)</f>
        <v>1.5</v>
      </c>
      <c r="G40" s="36">
        <f>SUM(G41,G43,G45)</f>
        <v>28000000</v>
      </c>
    </row>
    <row r="41" spans="1:7">
      <c r="A41" s="14" t="s">
        <v>138</v>
      </c>
      <c r="B41" s="15" t="s">
        <v>111</v>
      </c>
      <c r="C41" s="14"/>
      <c r="D41" s="14"/>
      <c r="E41" s="34"/>
      <c r="F41" s="35">
        <f>F42</f>
        <v>0.5</v>
      </c>
      <c r="G41" s="36">
        <f>G42</f>
        <v>16000000</v>
      </c>
    </row>
    <row r="42" spans="1:7">
      <c r="A42" s="16"/>
      <c r="B42" s="10" t="str">
        <f>B33</f>
        <v>TS. Nguyễn Phương Lâm</v>
      </c>
      <c r="C42" s="16">
        <v>0.8</v>
      </c>
      <c r="D42" s="16">
        <v>1</v>
      </c>
      <c r="E42" s="37">
        <f>$E$4</f>
        <v>40000000</v>
      </c>
      <c r="F42" s="38">
        <v>0.5</v>
      </c>
      <c r="G42" s="39">
        <f t="shared" si="4"/>
        <v>16000000</v>
      </c>
    </row>
    <row r="43" spans="1:7">
      <c r="A43" s="14" t="s">
        <v>139</v>
      </c>
      <c r="B43" s="15" t="s">
        <v>114</v>
      </c>
      <c r="C43" s="14"/>
      <c r="D43" s="14"/>
      <c r="E43" s="34"/>
      <c r="F43" s="35">
        <f>SUM(F44:F44)</f>
        <v>0.5</v>
      </c>
      <c r="G43" s="36">
        <f>SUM(G44:G44)</f>
        <v>8000000</v>
      </c>
    </row>
    <row r="44" spans="1:7">
      <c r="A44" s="16"/>
      <c r="B44" s="10" t="s">
        <v>115</v>
      </c>
      <c r="C44" s="16">
        <v>0.4</v>
      </c>
      <c r="D44" s="16">
        <v>1</v>
      </c>
      <c r="E44" s="37">
        <f>$E$4</f>
        <v>40000000</v>
      </c>
      <c r="F44" s="38">
        <v>0.5</v>
      </c>
      <c r="G44" s="39">
        <f>C44*E44*F44</f>
        <v>8000000</v>
      </c>
    </row>
    <row r="45" spans="1:7">
      <c r="A45" s="14" t="s">
        <v>140</v>
      </c>
      <c r="B45" s="15" t="s">
        <v>131</v>
      </c>
      <c r="C45" s="14"/>
      <c r="D45" s="14"/>
      <c r="E45" s="34"/>
      <c r="F45" s="35">
        <f>SUM(F46:F46)</f>
        <v>0.5</v>
      </c>
      <c r="G45" s="36">
        <f>SUM(G46:G46)</f>
        <v>4000000</v>
      </c>
    </row>
    <row r="46" spans="1:7">
      <c r="A46" s="16"/>
      <c r="B46" s="10" t="s">
        <v>121</v>
      </c>
      <c r="C46" s="16">
        <v>0.2</v>
      </c>
      <c r="D46" s="16">
        <v>1</v>
      </c>
      <c r="E46" s="37">
        <f>$E$4</f>
        <v>40000000</v>
      </c>
      <c r="F46" s="38">
        <v>0.5</v>
      </c>
      <c r="G46" s="39">
        <f>C46*E46*F46</f>
        <v>4000000</v>
      </c>
    </row>
    <row r="47" spans="1:7">
      <c r="A47" s="11">
        <v>3</v>
      </c>
      <c r="B47" s="12" t="s">
        <v>141</v>
      </c>
      <c r="C47" s="13"/>
      <c r="D47" s="13"/>
      <c r="E47" s="28"/>
      <c r="F47" s="29"/>
      <c r="G47" s="30">
        <f>G48+G53+G60+G65+G70</f>
        <v>136000000</v>
      </c>
    </row>
    <row r="48" spans="1:7">
      <c r="A48" s="14">
        <v>3.1</v>
      </c>
      <c r="B48" s="15" t="s">
        <v>142</v>
      </c>
      <c r="C48" s="16"/>
      <c r="D48" s="16"/>
      <c r="E48" s="31"/>
      <c r="F48" s="40">
        <f>SUM(F49,F51)</f>
        <v>1.5</v>
      </c>
      <c r="G48" s="36">
        <f>SUM(G49,G51)</f>
        <v>32000000</v>
      </c>
    </row>
    <row r="49" spans="1:7">
      <c r="A49" s="14" t="s">
        <v>143</v>
      </c>
      <c r="B49" s="15" t="s">
        <v>111</v>
      </c>
      <c r="C49" s="14"/>
      <c r="D49" s="14"/>
      <c r="E49" s="34"/>
      <c r="F49" s="35">
        <f>F50</f>
        <v>0.5</v>
      </c>
      <c r="G49" s="36">
        <f>G50</f>
        <v>16000000</v>
      </c>
    </row>
    <row r="50" spans="1:7">
      <c r="A50" s="16"/>
      <c r="B50" s="10" t="s">
        <v>115</v>
      </c>
      <c r="C50" s="16">
        <v>0.8</v>
      </c>
      <c r="D50" s="16">
        <v>1</v>
      </c>
      <c r="E50" s="37">
        <f>$E$4</f>
        <v>40000000</v>
      </c>
      <c r="F50" s="38">
        <v>0.5</v>
      </c>
      <c r="G50" s="39">
        <f t="shared" ref="G50:G55" si="5">C50*E50*F50</f>
        <v>16000000</v>
      </c>
    </row>
    <row r="51" spans="1:7">
      <c r="A51" s="14" t="s">
        <v>144</v>
      </c>
      <c r="B51" s="15" t="s">
        <v>114</v>
      </c>
      <c r="C51" s="14"/>
      <c r="D51" s="14"/>
      <c r="E51" s="34"/>
      <c r="F51" s="35">
        <f>SUM(F52:F52)</f>
        <v>1</v>
      </c>
      <c r="G51" s="36">
        <f>SUM(G52:G52)</f>
        <v>16000000</v>
      </c>
    </row>
    <row r="52" spans="1:7">
      <c r="A52" s="16"/>
      <c r="B52" s="10" t="s">
        <v>129</v>
      </c>
      <c r="C52" s="16">
        <v>0.4</v>
      </c>
      <c r="D52" s="16">
        <v>1</v>
      </c>
      <c r="E52" s="37">
        <f>$E$4</f>
        <v>40000000</v>
      </c>
      <c r="F52" s="38">
        <v>1</v>
      </c>
      <c r="G52" s="39">
        <f t="shared" si="5"/>
        <v>16000000</v>
      </c>
    </row>
    <row r="53" spans="1:7">
      <c r="A53" s="14">
        <v>3.2</v>
      </c>
      <c r="B53" s="15" t="s">
        <v>145</v>
      </c>
      <c r="C53" s="16"/>
      <c r="D53" s="16"/>
      <c r="E53" s="31"/>
      <c r="F53" s="40">
        <f>SUM(F54,F56,F58)</f>
        <v>1.5</v>
      </c>
      <c r="G53" s="36">
        <f>SUM(G54,G56,G58)</f>
        <v>28000000</v>
      </c>
    </row>
    <row r="54" spans="1:7">
      <c r="A54" s="14" t="s">
        <v>146</v>
      </c>
      <c r="B54" s="15" t="s">
        <v>111</v>
      </c>
      <c r="C54" s="14"/>
      <c r="D54" s="14"/>
      <c r="E54" s="34"/>
      <c r="F54" s="35">
        <f>F55</f>
        <v>0.5</v>
      </c>
      <c r="G54" s="36">
        <f>G55</f>
        <v>16000000</v>
      </c>
    </row>
    <row r="55" spans="1:7">
      <c r="A55" s="16"/>
      <c r="B55" s="10" t="s">
        <v>115</v>
      </c>
      <c r="C55" s="16">
        <v>0.8</v>
      </c>
      <c r="D55" s="16">
        <v>1</v>
      </c>
      <c r="E55" s="37">
        <f>$E$4</f>
        <v>40000000</v>
      </c>
      <c r="F55" s="38">
        <v>0.5</v>
      </c>
      <c r="G55" s="39">
        <f t="shared" si="5"/>
        <v>16000000</v>
      </c>
    </row>
    <row r="56" spans="1:7">
      <c r="A56" s="14" t="s">
        <v>147</v>
      </c>
      <c r="B56" s="15" t="s">
        <v>114</v>
      </c>
      <c r="C56" s="14"/>
      <c r="D56" s="14"/>
      <c r="E56" s="34"/>
      <c r="F56" s="35">
        <f>SUM(F57:F57)</f>
        <v>0.5</v>
      </c>
      <c r="G56" s="36">
        <f>SUM(G57:G57)</f>
        <v>8000000</v>
      </c>
    </row>
    <row r="57" spans="1:7">
      <c r="A57" s="16"/>
      <c r="B57" s="10" t="s">
        <v>121</v>
      </c>
      <c r="C57" s="16">
        <v>0.4</v>
      </c>
      <c r="D57" s="16">
        <v>1</v>
      </c>
      <c r="E57" s="37">
        <f>$E$4</f>
        <v>40000000</v>
      </c>
      <c r="F57" s="38">
        <v>0.5</v>
      </c>
      <c r="G57" s="39">
        <f t="shared" ref="G57:G62" si="6">C57*E57*F57</f>
        <v>8000000</v>
      </c>
    </row>
    <row r="58" spans="1:7">
      <c r="A58" s="14" t="s">
        <v>148</v>
      </c>
      <c r="B58" s="15" t="s">
        <v>131</v>
      </c>
      <c r="C58" s="14"/>
      <c r="D58" s="14"/>
      <c r="E58" s="34"/>
      <c r="F58" s="35">
        <f>SUM(F59:F59)</f>
        <v>0.5</v>
      </c>
      <c r="G58" s="36">
        <f>SUM(G59:G59)</f>
        <v>4000000</v>
      </c>
    </row>
    <row r="59" spans="1:7">
      <c r="A59" s="16"/>
      <c r="B59" s="10" t="s">
        <v>116</v>
      </c>
      <c r="C59" s="16">
        <v>0.2</v>
      </c>
      <c r="D59" s="16">
        <v>1</v>
      </c>
      <c r="E59" s="37">
        <f>$E$4</f>
        <v>40000000</v>
      </c>
      <c r="F59" s="38">
        <v>0.5</v>
      </c>
      <c r="G59" s="39">
        <f t="shared" si="6"/>
        <v>4000000</v>
      </c>
    </row>
    <row r="60" spans="1:7">
      <c r="A60" s="14">
        <v>3.3</v>
      </c>
      <c r="B60" s="15" t="s">
        <v>149</v>
      </c>
      <c r="C60" s="16"/>
      <c r="D60" s="16"/>
      <c r="E60" s="31"/>
      <c r="F60" s="40">
        <f>SUM(F61,F63)</f>
        <v>1</v>
      </c>
      <c r="G60" s="36">
        <f>SUM(G61,G63)</f>
        <v>24000000</v>
      </c>
    </row>
    <row r="61" spans="1:7">
      <c r="A61" s="14" t="s">
        <v>150</v>
      </c>
      <c r="B61" s="15" t="s">
        <v>111</v>
      </c>
      <c r="C61" s="14"/>
      <c r="D61" s="14"/>
      <c r="E61" s="34"/>
      <c r="F61" s="35">
        <f>F62</f>
        <v>0.5</v>
      </c>
      <c r="G61" s="36">
        <f>G62</f>
        <v>16000000</v>
      </c>
    </row>
    <row r="62" spans="1:7">
      <c r="A62" s="16"/>
      <c r="B62" s="10" t="s">
        <v>115</v>
      </c>
      <c r="C62" s="16">
        <v>0.8</v>
      </c>
      <c r="D62" s="16">
        <v>1</v>
      </c>
      <c r="E62" s="37">
        <f>$E$4</f>
        <v>40000000</v>
      </c>
      <c r="F62" s="38">
        <v>0.5</v>
      </c>
      <c r="G62" s="39">
        <f t="shared" si="6"/>
        <v>16000000</v>
      </c>
    </row>
    <row r="63" spans="1:7">
      <c r="A63" s="14" t="s">
        <v>151</v>
      </c>
      <c r="B63" s="15" t="s">
        <v>114</v>
      </c>
      <c r="C63" s="14"/>
      <c r="D63" s="14"/>
      <c r="E63" s="34"/>
      <c r="F63" s="35">
        <f>SUM(F64:F64)</f>
        <v>0.5</v>
      </c>
      <c r="G63" s="36">
        <f>SUM(G64:G64)</f>
        <v>8000000</v>
      </c>
    </row>
    <row r="64" spans="1:7">
      <c r="A64" s="16"/>
      <c r="B64" s="10" t="s">
        <v>122</v>
      </c>
      <c r="C64" s="16">
        <v>0.4</v>
      </c>
      <c r="D64" s="16">
        <v>1</v>
      </c>
      <c r="E64" s="37">
        <f>$E$4</f>
        <v>40000000</v>
      </c>
      <c r="F64" s="38">
        <v>0.5</v>
      </c>
      <c r="G64" s="39">
        <f t="shared" ref="G64:G69" si="7">C64*E64*F64</f>
        <v>8000000</v>
      </c>
    </row>
    <row r="65" spans="1:7">
      <c r="A65" s="14">
        <v>3.4</v>
      </c>
      <c r="B65" s="15" t="s">
        <v>152</v>
      </c>
      <c r="C65" s="16"/>
      <c r="D65" s="16"/>
      <c r="E65" s="31"/>
      <c r="F65" s="40">
        <f>SUM(F66,F68)</f>
        <v>1</v>
      </c>
      <c r="G65" s="36">
        <f>SUM(G66,G68)</f>
        <v>24000000</v>
      </c>
    </row>
    <row r="66" spans="1:7">
      <c r="A66" s="14" t="s">
        <v>153</v>
      </c>
      <c r="B66" s="15" t="s">
        <v>111</v>
      </c>
      <c r="C66" s="14"/>
      <c r="D66" s="14"/>
      <c r="E66" s="34"/>
      <c r="F66" s="35">
        <f>F67</f>
        <v>0.5</v>
      </c>
      <c r="G66" s="36">
        <f>G67</f>
        <v>16000000</v>
      </c>
    </row>
    <row r="67" spans="1:7">
      <c r="A67" s="16"/>
      <c r="B67" s="10" t="s">
        <v>115</v>
      </c>
      <c r="C67" s="16">
        <v>0.8</v>
      </c>
      <c r="D67" s="16">
        <v>1</v>
      </c>
      <c r="E67" s="37">
        <f>$E$4</f>
        <v>40000000</v>
      </c>
      <c r="F67" s="38">
        <v>0.5</v>
      </c>
      <c r="G67" s="39">
        <f t="shared" si="7"/>
        <v>16000000</v>
      </c>
    </row>
    <row r="68" spans="1:7">
      <c r="A68" s="14" t="s">
        <v>154</v>
      </c>
      <c r="B68" s="15" t="s">
        <v>114</v>
      </c>
      <c r="C68" s="14"/>
      <c r="D68" s="14"/>
      <c r="E68" s="34"/>
      <c r="F68" s="35">
        <f>SUM(F69:F69)</f>
        <v>0.5</v>
      </c>
      <c r="G68" s="36">
        <f>SUM(G69:G69)</f>
        <v>8000000</v>
      </c>
    </row>
    <row r="69" spans="1:7">
      <c r="A69" s="16"/>
      <c r="B69" s="10" t="s">
        <v>121</v>
      </c>
      <c r="C69" s="16">
        <v>0.4</v>
      </c>
      <c r="D69" s="16">
        <v>1</v>
      </c>
      <c r="E69" s="37">
        <f>$E$4</f>
        <v>40000000</v>
      </c>
      <c r="F69" s="38">
        <v>0.5</v>
      </c>
      <c r="G69" s="39">
        <f t="shared" si="7"/>
        <v>8000000</v>
      </c>
    </row>
    <row r="70" spans="1:7">
      <c r="A70" s="14">
        <v>3.5</v>
      </c>
      <c r="B70" s="15" t="s">
        <v>155</v>
      </c>
      <c r="C70" s="16"/>
      <c r="D70" s="16"/>
      <c r="E70" s="31"/>
      <c r="F70" s="40">
        <f>SUM(F71,F73,F75)</f>
        <v>1.5</v>
      </c>
      <c r="G70" s="36">
        <f>SUM(G71,G73,G75)</f>
        <v>28000000</v>
      </c>
    </row>
    <row r="71" spans="1:7">
      <c r="A71" s="14" t="s">
        <v>156</v>
      </c>
      <c r="B71" s="15" t="s">
        <v>111</v>
      </c>
      <c r="C71" s="14"/>
      <c r="D71" s="14"/>
      <c r="E71" s="34"/>
      <c r="F71" s="35">
        <f>F72</f>
        <v>0.5</v>
      </c>
      <c r="G71" s="36">
        <f>G72</f>
        <v>16000000</v>
      </c>
    </row>
    <row r="72" spans="1:7">
      <c r="A72" s="16"/>
      <c r="B72" s="10" t="s">
        <v>115</v>
      </c>
      <c r="C72" s="16">
        <v>0.8</v>
      </c>
      <c r="D72" s="16">
        <v>1</v>
      </c>
      <c r="E72" s="37">
        <f>$E$4</f>
        <v>40000000</v>
      </c>
      <c r="F72" s="38">
        <v>0.5</v>
      </c>
      <c r="G72" s="39">
        <f t="shared" ref="G72:G76" si="8">C72*E72*F72</f>
        <v>16000000</v>
      </c>
    </row>
    <row r="73" spans="1:7">
      <c r="A73" s="14" t="s">
        <v>157</v>
      </c>
      <c r="B73" s="15" t="s">
        <v>114</v>
      </c>
      <c r="C73" s="14"/>
      <c r="D73" s="14"/>
      <c r="E73" s="34"/>
      <c r="F73" s="35">
        <f>SUM(F74:F74)</f>
        <v>0.5</v>
      </c>
      <c r="G73" s="36">
        <f>SUM(G74:G74)</f>
        <v>8000000</v>
      </c>
    </row>
    <row r="74" spans="1:7">
      <c r="A74" s="16"/>
      <c r="B74" s="10" t="s">
        <v>129</v>
      </c>
      <c r="C74" s="16">
        <v>0.4</v>
      </c>
      <c r="D74" s="16">
        <v>1</v>
      </c>
      <c r="E74" s="37">
        <f>$E$4</f>
        <v>40000000</v>
      </c>
      <c r="F74" s="38">
        <v>0.5</v>
      </c>
      <c r="G74" s="39">
        <f t="shared" si="8"/>
        <v>8000000</v>
      </c>
    </row>
    <row r="75" spans="1:7">
      <c r="A75" s="14" t="s">
        <v>158</v>
      </c>
      <c r="B75" s="15" t="s">
        <v>131</v>
      </c>
      <c r="C75" s="14"/>
      <c r="D75" s="14"/>
      <c r="E75" s="34"/>
      <c r="F75" s="35">
        <f>SUM(F76:F76)</f>
        <v>0.5</v>
      </c>
      <c r="G75" s="36">
        <f>SUM(G76:G76)</f>
        <v>4000000</v>
      </c>
    </row>
    <row r="76" spans="1:7">
      <c r="A76" s="16"/>
      <c r="B76" s="10" t="s">
        <v>121</v>
      </c>
      <c r="C76" s="16">
        <v>0.2</v>
      </c>
      <c r="D76" s="16">
        <v>1</v>
      </c>
      <c r="E76" s="37">
        <f>$E$4</f>
        <v>40000000</v>
      </c>
      <c r="F76" s="38">
        <v>0.5</v>
      </c>
      <c r="G76" s="39">
        <f t="shared" si="8"/>
        <v>4000000</v>
      </c>
    </row>
    <row r="77" spans="1:7">
      <c r="A77" s="11">
        <v>4</v>
      </c>
      <c r="B77" s="12" t="s">
        <v>159</v>
      </c>
      <c r="C77" s="13"/>
      <c r="D77" s="13"/>
      <c r="E77" s="28"/>
      <c r="F77" s="29"/>
      <c r="G77" s="30">
        <f>G78+G83+G88</f>
        <v>72000000</v>
      </c>
    </row>
    <row r="78" spans="1:7">
      <c r="A78" s="14">
        <v>4.1</v>
      </c>
      <c r="B78" s="15" t="s">
        <v>160</v>
      </c>
      <c r="C78" s="16"/>
      <c r="D78" s="16"/>
      <c r="E78" s="31"/>
      <c r="F78" s="40">
        <f>SUM(F79,F81)</f>
        <v>1</v>
      </c>
      <c r="G78" s="36">
        <f>SUM(G79,G81)</f>
        <v>24000000</v>
      </c>
    </row>
    <row r="79" spans="1:7">
      <c r="A79" s="14" t="s">
        <v>161</v>
      </c>
      <c r="B79" s="15" t="s">
        <v>111</v>
      </c>
      <c r="C79" s="14"/>
      <c r="D79" s="14"/>
      <c r="E79" s="34"/>
      <c r="F79" s="35">
        <f>F80</f>
        <v>0.5</v>
      </c>
      <c r="G79" s="36">
        <f>G80</f>
        <v>16000000</v>
      </c>
    </row>
    <row r="80" spans="1:7">
      <c r="A80" s="16"/>
      <c r="B80" s="10" t="s">
        <v>162</v>
      </c>
      <c r="C80" s="16">
        <v>0.8</v>
      </c>
      <c r="D80" s="16">
        <v>1</v>
      </c>
      <c r="E80" s="37">
        <f>$E$4</f>
        <v>40000000</v>
      </c>
      <c r="F80" s="38">
        <v>0.5</v>
      </c>
      <c r="G80" s="39">
        <f t="shared" ref="G80:G85" si="9">C80*E80*F80</f>
        <v>16000000</v>
      </c>
    </row>
    <row r="81" spans="1:7">
      <c r="A81" s="14" t="s">
        <v>163</v>
      </c>
      <c r="B81" s="15" t="s">
        <v>114</v>
      </c>
      <c r="C81" s="14"/>
      <c r="D81" s="14"/>
      <c r="E81" s="34"/>
      <c r="F81" s="35">
        <f>SUM(F82:F82)</f>
        <v>0.5</v>
      </c>
      <c r="G81" s="36">
        <f>SUM(G82:G82)</f>
        <v>8000000</v>
      </c>
    </row>
    <row r="82" spans="1:7">
      <c r="A82" s="16"/>
      <c r="B82" s="10" t="s">
        <v>122</v>
      </c>
      <c r="C82" s="16">
        <v>0.4</v>
      </c>
      <c r="D82" s="16">
        <v>1</v>
      </c>
      <c r="E82" s="37">
        <f>$E$4</f>
        <v>40000000</v>
      </c>
      <c r="F82" s="38">
        <v>0.5</v>
      </c>
      <c r="G82" s="39">
        <f t="shared" si="9"/>
        <v>8000000</v>
      </c>
    </row>
    <row r="83" spans="1:7">
      <c r="A83" s="14">
        <v>4.2</v>
      </c>
      <c r="B83" s="15" t="s">
        <v>164</v>
      </c>
      <c r="C83" s="16"/>
      <c r="D83" s="16"/>
      <c r="E83" s="31"/>
      <c r="F83" s="40">
        <f>SUM(F84,F86)</f>
        <v>1</v>
      </c>
      <c r="G83" s="36">
        <f>SUM(G84,G86)</f>
        <v>24000000</v>
      </c>
    </row>
    <row r="84" spans="1:7">
      <c r="A84" s="14" t="s">
        <v>165</v>
      </c>
      <c r="B84" s="15" t="s">
        <v>111</v>
      </c>
      <c r="C84" s="14"/>
      <c r="D84" s="14"/>
      <c r="E84" s="34"/>
      <c r="F84" s="35">
        <f>F85</f>
        <v>0.5</v>
      </c>
      <c r="G84" s="36">
        <f>G85</f>
        <v>16000000</v>
      </c>
    </row>
    <row r="85" spans="1:7">
      <c r="A85" s="16"/>
      <c r="B85" s="10" t="str">
        <f>B80</f>
        <v>PGS. TS. Hà Thị Hằng</v>
      </c>
      <c r="C85" s="16">
        <v>0.8</v>
      </c>
      <c r="D85" s="16">
        <v>1</v>
      </c>
      <c r="E85" s="37">
        <f>$E$4</f>
        <v>40000000</v>
      </c>
      <c r="F85" s="38">
        <v>0.5</v>
      </c>
      <c r="G85" s="39">
        <f t="shared" si="9"/>
        <v>16000000</v>
      </c>
    </row>
    <row r="86" spans="1:7">
      <c r="A86" s="14" t="s">
        <v>166</v>
      </c>
      <c r="B86" s="15" t="s">
        <v>114</v>
      </c>
      <c r="C86" s="14"/>
      <c r="D86" s="14"/>
      <c r="E86" s="34"/>
      <c r="F86" s="35">
        <f>SUM(F87:F87)</f>
        <v>0.5</v>
      </c>
      <c r="G86" s="36">
        <f>SUM(G87:G87)</f>
        <v>8000000</v>
      </c>
    </row>
    <row r="87" spans="1:7">
      <c r="A87" s="16"/>
      <c r="B87" s="10" t="s">
        <v>121</v>
      </c>
      <c r="C87" s="16">
        <v>0.4</v>
      </c>
      <c r="D87" s="16">
        <v>1</v>
      </c>
      <c r="E87" s="37">
        <f>$E$4</f>
        <v>40000000</v>
      </c>
      <c r="F87" s="38">
        <v>0.5</v>
      </c>
      <c r="G87" s="39">
        <f t="shared" ref="G87:G92" si="10">C87*E87*F87</f>
        <v>8000000</v>
      </c>
    </row>
    <row r="88" spans="1:7">
      <c r="A88" s="14">
        <v>4.3</v>
      </c>
      <c r="B88" s="15" t="s">
        <v>167</v>
      </c>
      <c r="C88" s="16"/>
      <c r="D88" s="16"/>
      <c r="E88" s="31"/>
      <c r="F88" s="40">
        <f>SUM(F89,F91)</f>
        <v>1</v>
      </c>
      <c r="G88" s="36">
        <f>SUM(G89,G91)</f>
        <v>24000000</v>
      </c>
    </row>
    <row r="89" spans="1:7">
      <c r="A89" s="14" t="s">
        <v>168</v>
      </c>
      <c r="B89" s="15" t="s">
        <v>111</v>
      </c>
      <c r="C89" s="14"/>
      <c r="D89" s="14"/>
      <c r="E89" s="34"/>
      <c r="F89" s="35">
        <f>F90</f>
        <v>0.5</v>
      </c>
      <c r="G89" s="36">
        <f>G90</f>
        <v>16000000</v>
      </c>
    </row>
    <row r="90" spans="1:7">
      <c r="A90" s="16"/>
      <c r="B90" s="10" t="str">
        <f>B85</f>
        <v>PGS. TS. Hà Thị Hằng</v>
      </c>
      <c r="C90" s="16">
        <v>0.8</v>
      </c>
      <c r="D90" s="16">
        <v>1</v>
      </c>
      <c r="E90" s="37">
        <f>$E$4</f>
        <v>40000000</v>
      </c>
      <c r="F90" s="38">
        <v>0.5</v>
      </c>
      <c r="G90" s="39">
        <f t="shared" si="10"/>
        <v>16000000</v>
      </c>
    </row>
    <row r="91" spans="1:7">
      <c r="A91" s="14" t="s">
        <v>169</v>
      </c>
      <c r="B91" s="15" t="s">
        <v>114</v>
      </c>
      <c r="C91" s="14"/>
      <c r="D91" s="14"/>
      <c r="E91" s="34"/>
      <c r="F91" s="35">
        <f>SUM(F92:F92)</f>
        <v>0.5</v>
      </c>
      <c r="G91" s="36">
        <f>SUM(G92:G92)</f>
        <v>8000000</v>
      </c>
    </row>
    <row r="92" spans="1:7">
      <c r="A92" s="16"/>
      <c r="B92" s="10" t="s">
        <v>129</v>
      </c>
      <c r="C92" s="16">
        <v>0.4</v>
      </c>
      <c r="D92" s="16">
        <v>1</v>
      </c>
      <c r="E92" s="37">
        <f>$E$4</f>
        <v>40000000</v>
      </c>
      <c r="F92" s="38">
        <v>0.5</v>
      </c>
      <c r="G92" s="39">
        <f t="shared" si="10"/>
        <v>8000000</v>
      </c>
    </row>
    <row r="93" spans="1:7">
      <c r="A93" s="11">
        <v>5</v>
      </c>
      <c r="B93" s="12" t="s">
        <v>170</v>
      </c>
      <c r="C93" s="13"/>
      <c r="D93" s="13"/>
      <c r="E93" s="28"/>
      <c r="F93" s="29"/>
      <c r="G93" s="30">
        <f>G94+G99+G106+G113+G118</f>
        <v>140000000</v>
      </c>
    </row>
    <row r="94" spans="1:7">
      <c r="A94" s="14">
        <v>5.1</v>
      </c>
      <c r="B94" s="15" t="s">
        <v>171</v>
      </c>
      <c r="C94" s="16"/>
      <c r="D94" s="16"/>
      <c r="E94" s="31"/>
      <c r="F94" s="40">
        <f>SUM(F95,F97)</f>
        <v>1</v>
      </c>
      <c r="G94" s="36">
        <f>SUM(G95,G97)</f>
        <v>24000000</v>
      </c>
    </row>
    <row r="95" spans="1:7">
      <c r="A95" s="14" t="s">
        <v>172</v>
      </c>
      <c r="B95" s="15" t="s">
        <v>111</v>
      </c>
      <c r="C95" s="14"/>
      <c r="D95" s="14"/>
      <c r="E95" s="34"/>
      <c r="F95" s="35">
        <f>F96</f>
        <v>0.5</v>
      </c>
      <c r="G95" s="36">
        <f>G96</f>
        <v>16000000</v>
      </c>
    </row>
    <row r="96" spans="1:7">
      <c r="A96" s="16"/>
      <c r="B96" s="10" t="s">
        <v>129</v>
      </c>
      <c r="C96" s="16">
        <v>0.8</v>
      </c>
      <c r="D96" s="16">
        <v>1</v>
      </c>
      <c r="E96" s="37">
        <f>$E$4</f>
        <v>40000000</v>
      </c>
      <c r="F96" s="38">
        <v>0.5</v>
      </c>
      <c r="G96" s="39">
        <f t="shared" ref="G96:G101" si="11">C96*E96*F96</f>
        <v>16000000</v>
      </c>
    </row>
    <row r="97" spans="1:7">
      <c r="A97" s="14" t="s">
        <v>173</v>
      </c>
      <c r="B97" s="15" t="s">
        <v>114</v>
      </c>
      <c r="C97" s="14"/>
      <c r="D97" s="14"/>
      <c r="E97" s="34"/>
      <c r="F97" s="35">
        <f>SUM(F98:F98)</f>
        <v>0.5</v>
      </c>
      <c r="G97" s="36">
        <f>SUM(G98:G98)</f>
        <v>8000000</v>
      </c>
    </row>
    <row r="98" spans="1:7">
      <c r="A98" s="16"/>
      <c r="B98" s="10" t="s">
        <v>122</v>
      </c>
      <c r="C98" s="16">
        <v>0.4</v>
      </c>
      <c r="D98" s="16">
        <v>1</v>
      </c>
      <c r="E98" s="37">
        <f>$E$4</f>
        <v>40000000</v>
      </c>
      <c r="F98" s="38">
        <v>0.5</v>
      </c>
      <c r="G98" s="39">
        <f t="shared" si="11"/>
        <v>8000000</v>
      </c>
    </row>
    <row r="99" spans="1:7">
      <c r="A99" s="14">
        <v>5.2</v>
      </c>
      <c r="B99" s="15" t="s">
        <v>174</v>
      </c>
      <c r="C99" s="16"/>
      <c r="D99" s="16"/>
      <c r="E99" s="31"/>
      <c r="F99" s="40">
        <f>SUM(F100,F102,F104)</f>
        <v>2</v>
      </c>
      <c r="G99" s="36">
        <f>SUM(G100,G102,G104)</f>
        <v>36000000</v>
      </c>
    </row>
    <row r="100" spans="1:7">
      <c r="A100" s="14" t="s">
        <v>175</v>
      </c>
      <c r="B100" s="15" t="s">
        <v>111</v>
      </c>
      <c r="C100" s="14"/>
      <c r="D100" s="14"/>
      <c r="E100" s="34"/>
      <c r="F100" s="35">
        <f>F101</f>
        <v>0.5</v>
      </c>
      <c r="G100" s="36">
        <f>G101</f>
        <v>16000000</v>
      </c>
    </row>
    <row r="101" spans="1:7">
      <c r="A101" s="16"/>
      <c r="B101" s="10" t="str">
        <f>B96</f>
        <v>TS. Bùi Duy Quỳnh</v>
      </c>
      <c r="C101" s="16">
        <v>0.8</v>
      </c>
      <c r="D101" s="16">
        <v>1</v>
      </c>
      <c r="E101" s="37">
        <f>$E$4</f>
        <v>40000000</v>
      </c>
      <c r="F101" s="38">
        <v>0.5</v>
      </c>
      <c r="G101" s="39">
        <f t="shared" si="11"/>
        <v>16000000</v>
      </c>
    </row>
    <row r="102" spans="1:7">
      <c r="A102" s="14" t="s">
        <v>176</v>
      </c>
      <c r="B102" s="15" t="s">
        <v>114</v>
      </c>
      <c r="C102" s="14"/>
      <c r="D102" s="14"/>
      <c r="E102" s="34"/>
      <c r="F102" s="35">
        <f>SUM(F103:F103)</f>
        <v>1</v>
      </c>
      <c r="G102" s="36">
        <f>SUM(G103:G103)</f>
        <v>16000000</v>
      </c>
    </row>
    <row r="103" spans="1:7">
      <c r="A103" s="16"/>
      <c r="B103" s="10" t="s">
        <v>115</v>
      </c>
      <c r="C103" s="16">
        <v>0.4</v>
      </c>
      <c r="D103" s="16">
        <v>1</v>
      </c>
      <c r="E103" s="37">
        <f>$E$4</f>
        <v>40000000</v>
      </c>
      <c r="F103" s="38">
        <v>1</v>
      </c>
      <c r="G103" s="39">
        <f t="shared" ref="G103:G108" si="12">C103*E103*F103</f>
        <v>16000000</v>
      </c>
    </row>
    <row r="104" spans="1:7">
      <c r="A104" s="14" t="s">
        <v>177</v>
      </c>
      <c r="B104" s="15" t="s">
        <v>131</v>
      </c>
      <c r="C104" s="14"/>
      <c r="D104" s="14"/>
      <c r="E104" s="34"/>
      <c r="F104" s="35">
        <f>SUM(F105:F105)</f>
        <v>0.5</v>
      </c>
      <c r="G104" s="36">
        <f>SUM(G105:G105)</f>
        <v>4000000</v>
      </c>
    </row>
    <row r="105" spans="1:7">
      <c r="A105" s="16"/>
      <c r="B105" s="10" t="s">
        <v>116</v>
      </c>
      <c r="C105" s="16">
        <v>0.2</v>
      </c>
      <c r="D105" s="16">
        <v>1</v>
      </c>
      <c r="E105" s="37">
        <f>$E$4</f>
        <v>40000000</v>
      </c>
      <c r="F105" s="38">
        <v>0.5</v>
      </c>
      <c r="G105" s="39">
        <f t="shared" si="12"/>
        <v>4000000</v>
      </c>
    </row>
    <row r="106" spans="1:7">
      <c r="A106" s="14">
        <v>5.3</v>
      </c>
      <c r="B106" s="15" t="s">
        <v>178</v>
      </c>
      <c r="C106" s="16"/>
      <c r="D106" s="16"/>
      <c r="E106" s="31"/>
      <c r="F106" s="40">
        <f>SUM(F107,F109,F111)</f>
        <v>1.5</v>
      </c>
      <c r="G106" s="36">
        <f>SUM(G107,G109,G111)</f>
        <v>28000000</v>
      </c>
    </row>
    <row r="107" spans="1:7">
      <c r="A107" s="14" t="s">
        <v>179</v>
      </c>
      <c r="B107" s="15" t="s">
        <v>111</v>
      </c>
      <c r="C107" s="14"/>
      <c r="D107" s="14"/>
      <c r="E107" s="34"/>
      <c r="F107" s="35">
        <f>F108</f>
        <v>0.5</v>
      </c>
      <c r="G107" s="36">
        <f>G108</f>
        <v>16000000</v>
      </c>
    </row>
    <row r="108" spans="1:7">
      <c r="A108" s="16"/>
      <c r="B108" s="10" t="s">
        <v>129</v>
      </c>
      <c r="C108" s="16">
        <v>0.8</v>
      </c>
      <c r="D108" s="16">
        <v>1</v>
      </c>
      <c r="E108" s="37">
        <f>$E$4</f>
        <v>40000000</v>
      </c>
      <c r="F108" s="38">
        <v>0.5</v>
      </c>
      <c r="G108" s="39">
        <f t="shared" si="12"/>
        <v>16000000</v>
      </c>
    </row>
    <row r="109" spans="1:7">
      <c r="A109" s="14" t="s">
        <v>180</v>
      </c>
      <c r="B109" s="15" t="s">
        <v>114</v>
      </c>
      <c r="C109" s="14"/>
      <c r="D109" s="14"/>
      <c r="E109" s="34"/>
      <c r="F109" s="35">
        <f>SUM(F110:F110)</f>
        <v>0.5</v>
      </c>
      <c r="G109" s="36">
        <f>SUM(G110:G110)</f>
        <v>8000000</v>
      </c>
    </row>
    <row r="110" spans="1:7">
      <c r="A110" s="16"/>
      <c r="B110" s="10" t="s">
        <v>115</v>
      </c>
      <c r="C110" s="16">
        <v>0.4</v>
      </c>
      <c r="D110" s="16">
        <v>1</v>
      </c>
      <c r="E110" s="37">
        <f>$E$4</f>
        <v>40000000</v>
      </c>
      <c r="F110" s="38">
        <v>0.5</v>
      </c>
      <c r="G110" s="39">
        <f t="shared" ref="G110:G115" si="13">C110*E110*F110</f>
        <v>8000000</v>
      </c>
    </row>
    <row r="111" spans="1:7">
      <c r="A111" s="14" t="s">
        <v>181</v>
      </c>
      <c r="B111" s="15" t="s">
        <v>131</v>
      </c>
      <c r="C111" s="14"/>
      <c r="D111" s="14"/>
      <c r="E111" s="34"/>
      <c r="F111" s="35">
        <f>SUM(F112:F112)</f>
        <v>0.5</v>
      </c>
      <c r="G111" s="36">
        <f>SUM(G112:G112)</f>
        <v>4000000</v>
      </c>
    </row>
    <row r="112" spans="1:7">
      <c r="A112" s="16"/>
      <c r="B112" s="10" t="s">
        <v>121</v>
      </c>
      <c r="C112" s="16">
        <v>0.2</v>
      </c>
      <c r="D112" s="16">
        <v>1</v>
      </c>
      <c r="E112" s="37">
        <f>$E$4</f>
        <v>40000000</v>
      </c>
      <c r="F112" s="38">
        <v>0.5</v>
      </c>
      <c r="G112" s="39">
        <f t="shared" si="13"/>
        <v>4000000</v>
      </c>
    </row>
    <row r="113" spans="1:7">
      <c r="A113" s="14">
        <v>5.4</v>
      </c>
      <c r="B113" s="15" t="s">
        <v>182</v>
      </c>
      <c r="C113" s="16"/>
      <c r="D113" s="16"/>
      <c r="E113" s="31"/>
      <c r="F113" s="40">
        <f>SUM(F114,F116)</f>
        <v>1</v>
      </c>
      <c r="G113" s="36">
        <f>SUM(G114,G116)</f>
        <v>24000000</v>
      </c>
    </row>
    <row r="114" spans="1:7">
      <c r="A114" s="14" t="s">
        <v>183</v>
      </c>
      <c r="B114" s="15" t="s">
        <v>111</v>
      </c>
      <c r="C114" s="14"/>
      <c r="D114" s="14"/>
      <c r="E114" s="34"/>
      <c r="F114" s="35">
        <f>F115</f>
        <v>0.5</v>
      </c>
      <c r="G114" s="36">
        <f>G115</f>
        <v>16000000</v>
      </c>
    </row>
    <row r="115" spans="1:7">
      <c r="A115" s="16"/>
      <c r="B115" s="10" t="s">
        <v>129</v>
      </c>
      <c r="C115" s="16">
        <v>0.8</v>
      </c>
      <c r="D115" s="16">
        <v>1</v>
      </c>
      <c r="E115" s="37">
        <f>$E$4</f>
        <v>40000000</v>
      </c>
      <c r="F115" s="38">
        <v>0.5</v>
      </c>
      <c r="G115" s="39">
        <f t="shared" si="13"/>
        <v>16000000</v>
      </c>
    </row>
    <row r="116" spans="1:7">
      <c r="A116" s="14" t="s">
        <v>184</v>
      </c>
      <c r="B116" s="15" t="s">
        <v>114</v>
      </c>
      <c r="C116" s="14"/>
      <c r="D116" s="14"/>
      <c r="E116" s="34"/>
      <c r="F116" s="35">
        <f>SUM(F117:F117)</f>
        <v>0.5</v>
      </c>
      <c r="G116" s="36">
        <f>SUM(G117:G117)</f>
        <v>8000000</v>
      </c>
    </row>
    <row r="117" spans="1:7">
      <c r="A117" s="16"/>
      <c r="B117" s="10" t="s">
        <v>122</v>
      </c>
      <c r="C117" s="16">
        <v>0.4</v>
      </c>
      <c r="D117" s="16">
        <v>1</v>
      </c>
      <c r="E117" s="37">
        <f>$E$4</f>
        <v>40000000</v>
      </c>
      <c r="F117" s="38">
        <v>0.5</v>
      </c>
      <c r="G117" s="39">
        <f t="shared" ref="G117:G122" si="14">C117*E117*F117</f>
        <v>8000000</v>
      </c>
    </row>
    <row r="118" spans="1:7">
      <c r="A118" s="14">
        <v>5.5</v>
      </c>
      <c r="B118" s="15" t="s">
        <v>185</v>
      </c>
      <c r="C118" s="16"/>
      <c r="D118" s="16"/>
      <c r="E118" s="31"/>
      <c r="F118" s="40">
        <f>SUM(F119,F121,F123)</f>
        <v>1.5</v>
      </c>
      <c r="G118" s="36">
        <f>SUM(G119,G121,G123)</f>
        <v>28000000</v>
      </c>
    </row>
    <row r="119" spans="1:7">
      <c r="A119" s="14" t="s">
        <v>186</v>
      </c>
      <c r="B119" s="15" t="s">
        <v>111</v>
      </c>
      <c r="C119" s="14"/>
      <c r="D119" s="14"/>
      <c r="E119" s="34"/>
      <c r="F119" s="35">
        <f>F120</f>
        <v>0.5</v>
      </c>
      <c r="G119" s="36">
        <f>G120</f>
        <v>16000000</v>
      </c>
    </row>
    <row r="120" spans="1:7">
      <c r="A120" s="16"/>
      <c r="B120" s="10" t="str">
        <f>B115</f>
        <v>TS. Bùi Duy Quỳnh</v>
      </c>
      <c r="C120" s="16">
        <v>0.8</v>
      </c>
      <c r="D120" s="16">
        <v>1</v>
      </c>
      <c r="E120" s="37">
        <f>$E$4</f>
        <v>40000000</v>
      </c>
      <c r="F120" s="38">
        <v>0.5</v>
      </c>
      <c r="G120" s="39">
        <f t="shared" si="14"/>
        <v>16000000</v>
      </c>
    </row>
    <row r="121" spans="1:7">
      <c r="A121" s="14" t="s">
        <v>187</v>
      </c>
      <c r="B121" s="15" t="s">
        <v>114</v>
      </c>
      <c r="C121" s="14"/>
      <c r="D121" s="14"/>
      <c r="E121" s="34"/>
      <c r="F121" s="35">
        <f>SUM(F122:F122)</f>
        <v>0.5</v>
      </c>
      <c r="G121" s="36">
        <f>SUM(G122:G122)</f>
        <v>8000000</v>
      </c>
    </row>
    <row r="122" spans="1:7">
      <c r="A122" s="16"/>
      <c r="B122" s="10" t="s">
        <v>122</v>
      </c>
      <c r="C122" s="16">
        <v>0.4</v>
      </c>
      <c r="D122" s="16">
        <v>1</v>
      </c>
      <c r="E122" s="37">
        <f>$E$4</f>
        <v>40000000</v>
      </c>
      <c r="F122" s="38">
        <v>0.5</v>
      </c>
      <c r="G122" s="39">
        <f t="shared" si="14"/>
        <v>8000000</v>
      </c>
    </row>
    <row r="123" spans="1:7">
      <c r="A123" s="14" t="s">
        <v>188</v>
      </c>
      <c r="B123" s="15" t="s">
        <v>131</v>
      </c>
      <c r="C123" s="14"/>
      <c r="D123" s="14"/>
      <c r="E123" s="34"/>
      <c r="F123" s="35">
        <f>SUM(F124:F124)</f>
        <v>0.5</v>
      </c>
      <c r="G123" s="36">
        <f>SUM(G124:G124)</f>
        <v>4000000</v>
      </c>
    </row>
    <row r="124" ht="42.75" spans="1:7">
      <c r="A124" s="16"/>
      <c r="B124" s="10" t="s">
        <v>116</v>
      </c>
      <c r="C124" s="16">
        <v>0.2</v>
      </c>
      <c r="D124" s="16">
        <v>1</v>
      </c>
      <c r="E124" s="37">
        <f>$E$4</f>
        <v>40000000</v>
      </c>
      <c r="F124" s="38">
        <v>0.5</v>
      </c>
      <c r="G124" s="39">
        <f>C124*E124*F124</f>
        <v>4000000</v>
      </c>
    </row>
    <row r="125" ht="327.75" spans="1:7">
      <c r="A125" s="11">
        <v>6</v>
      </c>
      <c r="B125" s="12" t="s">
        <v>189</v>
      </c>
      <c r="C125" s="13"/>
      <c r="D125" s="13"/>
      <c r="E125" s="28"/>
      <c r="F125" s="29"/>
      <c r="G125" s="30">
        <f>G126+G135+G140+G149+G157</f>
        <v>236000000</v>
      </c>
    </row>
    <row r="126" spans="1:7">
      <c r="A126" s="14">
        <v>6.1</v>
      </c>
      <c r="B126" s="15" t="s">
        <v>190</v>
      </c>
      <c r="C126" s="16"/>
      <c r="D126" s="16"/>
      <c r="E126" s="31"/>
      <c r="F126" s="40">
        <f>SUM(F127,F129,F132)</f>
        <v>2.5</v>
      </c>
      <c r="G126" s="36">
        <f>SUM(G127,G129,G132)</f>
        <v>40000000</v>
      </c>
    </row>
    <row r="127" spans="1:7">
      <c r="A127" s="14" t="s">
        <v>191</v>
      </c>
      <c r="B127" s="15" t="s">
        <v>111</v>
      </c>
      <c r="C127" s="14"/>
      <c r="D127" s="14"/>
      <c r="E127" s="34"/>
      <c r="F127" s="35">
        <f>F128</f>
        <v>0.5</v>
      </c>
      <c r="G127" s="36">
        <f>G128</f>
        <v>16000000</v>
      </c>
    </row>
    <row r="128" spans="1:7">
      <c r="A128" s="16"/>
      <c r="B128" s="10" t="s">
        <v>192</v>
      </c>
      <c r="C128" s="16">
        <v>0.8</v>
      </c>
      <c r="D128" s="16">
        <v>1</v>
      </c>
      <c r="E128" s="37">
        <f>$E$4</f>
        <v>40000000</v>
      </c>
      <c r="F128" s="38">
        <v>0.5</v>
      </c>
      <c r="G128" s="39">
        <f t="shared" ref="G128:G131" si="15">C128*E128*F128</f>
        <v>16000000</v>
      </c>
    </row>
    <row r="129" spans="1:7">
      <c r="A129" s="14" t="s">
        <v>193</v>
      </c>
      <c r="B129" s="15" t="s">
        <v>114</v>
      </c>
      <c r="C129" s="14"/>
      <c r="D129" s="14"/>
      <c r="E129" s="34"/>
      <c r="F129" s="35">
        <f>SUM(F130:F131)</f>
        <v>1</v>
      </c>
      <c r="G129" s="36">
        <f>SUM(G130:G131)</f>
        <v>16000000</v>
      </c>
    </row>
    <row r="130" spans="1:7">
      <c r="A130" s="16"/>
      <c r="B130" s="10" t="s">
        <v>115</v>
      </c>
      <c r="C130" s="16">
        <v>0.4</v>
      </c>
      <c r="D130" s="16">
        <v>1</v>
      </c>
      <c r="E130" s="37">
        <f>$E$4</f>
        <v>40000000</v>
      </c>
      <c r="F130" s="38">
        <v>0.5</v>
      </c>
      <c r="G130" s="39">
        <f t="shared" si="15"/>
        <v>8000000</v>
      </c>
    </row>
    <row r="131" spans="1:7">
      <c r="A131" s="16"/>
      <c r="B131" s="10" t="s">
        <v>129</v>
      </c>
      <c r="C131" s="16">
        <v>0.4</v>
      </c>
      <c r="D131" s="16">
        <v>1</v>
      </c>
      <c r="E131" s="37">
        <f>$E$4</f>
        <v>40000000</v>
      </c>
      <c r="F131" s="38">
        <v>0.5</v>
      </c>
      <c r="G131" s="39">
        <f t="shared" si="15"/>
        <v>8000000</v>
      </c>
    </row>
    <row r="132" spans="1:7">
      <c r="A132" s="14" t="s">
        <v>194</v>
      </c>
      <c r="B132" s="15" t="s">
        <v>131</v>
      </c>
      <c r="C132" s="14"/>
      <c r="D132" s="14"/>
      <c r="E132" s="34"/>
      <c r="F132" s="35">
        <f>SUM(F133:F134)</f>
        <v>1</v>
      </c>
      <c r="G132" s="36">
        <f>SUM(G133:G134)</f>
        <v>8000000</v>
      </c>
    </row>
    <row r="133" spans="1:7">
      <c r="A133" s="16"/>
      <c r="B133" s="10" t="s">
        <v>121</v>
      </c>
      <c r="C133" s="16">
        <v>0.2</v>
      </c>
      <c r="D133" s="16">
        <v>1</v>
      </c>
      <c r="E133" s="37">
        <f>$E$4</f>
        <v>40000000</v>
      </c>
      <c r="F133" s="38">
        <v>0.5</v>
      </c>
      <c r="G133" s="39">
        <f t="shared" ref="G133:G137" si="16">C133*E133*F133</f>
        <v>4000000</v>
      </c>
    </row>
    <row r="134" spans="1:7">
      <c r="A134" s="16"/>
      <c r="B134" s="10" t="s">
        <v>116</v>
      </c>
      <c r="C134" s="16">
        <v>0.2</v>
      </c>
      <c r="D134" s="16">
        <v>1</v>
      </c>
      <c r="E134" s="37">
        <f>$E$4</f>
        <v>40000000</v>
      </c>
      <c r="F134" s="38">
        <v>0.5</v>
      </c>
      <c r="G134" s="39">
        <f t="shared" si="16"/>
        <v>4000000</v>
      </c>
    </row>
    <row r="135" spans="1:7">
      <c r="A135" s="14">
        <v>6.2</v>
      </c>
      <c r="B135" s="15" t="s">
        <v>195</v>
      </c>
      <c r="C135" s="16"/>
      <c r="D135" s="16"/>
      <c r="E135" s="31"/>
      <c r="F135" s="40">
        <f>SUM(F136,F138)</f>
        <v>1</v>
      </c>
      <c r="G135" s="36">
        <f>SUM(G136,G138)</f>
        <v>24000000</v>
      </c>
    </row>
    <row r="136" spans="1:7">
      <c r="A136" s="14" t="s">
        <v>196</v>
      </c>
      <c r="B136" s="15" t="s">
        <v>111</v>
      </c>
      <c r="C136" s="14"/>
      <c r="D136" s="14"/>
      <c r="E136" s="34"/>
      <c r="F136" s="35">
        <f>F137</f>
        <v>0.5</v>
      </c>
      <c r="G136" s="36">
        <f>G137</f>
        <v>16000000</v>
      </c>
    </row>
    <row r="137" spans="1:7">
      <c r="A137" s="16"/>
      <c r="B137" s="10" t="str">
        <f>B128</f>
        <v>PGS. TS. Lưu Thị Diệu Chinh</v>
      </c>
      <c r="C137" s="16">
        <v>0.8</v>
      </c>
      <c r="D137" s="16">
        <v>1</v>
      </c>
      <c r="E137" s="37">
        <f>$E$4</f>
        <v>40000000</v>
      </c>
      <c r="F137" s="38">
        <v>0.5</v>
      </c>
      <c r="G137" s="39">
        <f t="shared" si="16"/>
        <v>16000000</v>
      </c>
    </row>
    <row r="138" spans="1:7">
      <c r="A138" s="14" t="s">
        <v>197</v>
      </c>
      <c r="B138" s="15" t="s">
        <v>114</v>
      </c>
      <c r="C138" s="14"/>
      <c r="D138" s="14"/>
      <c r="E138" s="34"/>
      <c r="F138" s="35">
        <f>SUM(F139:F139)</f>
        <v>0.5</v>
      </c>
      <c r="G138" s="36">
        <f>SUM(G139:G139)</f>
        <v>8000000</v>
      </c>
    </row>
    <row r="139" spans="1:7">
      <c r="A139" s="16"/>
      <c r="B139" s="10" t="s">
        <v>129</v>
      </c>
      <c r="C139" s="16">
        <v>0.4</v>
      </c>
      <c r="D139" s="16">
        <v>1</v>
      </c>
      <c r="E139" s="37">
        <f>$E$4</f>
        <v>40000000</v>
      </c>
      <c r="F139" s="38">
        <v>0.5</v>
      </c>
      <c r="G139" s="39">
        <f t="shared" ref="G139:G145" si="17">C139*E139*F139</f>
        <v>8000000</v>
      </c>
    </row>
    <row r="140" spans="1:7">
      <c r="A140" s="14">
        <v>6.3</v>
      </c>
      <c r="B140" s="15" t="s">
        <v>198</v>
      </c>
      <c r="C140" s="16"/>
      <c r="D140" s="16"/>
      <c r="E140" s="31"/>
      <c r="F140" s="40">
        <f>SUM(F141,F143,F146)</f>
        <v>3.5</v>
      </c>
      <c r="G140" s="36">
        <f>SUM(G141,G143,G146)</f>
        <v>60000000</v>
      </c>
    </row>
    <row r="141" spans="1:7">
      <c r="A141" s="14" t="s">
        <v>199</v>
      </c>
      <c r="B141" s="15" t="s">
        <v>111</v>
      </c>
      <c r="C141" s="14"/>
      <c r="D141" s="14"/>
      <c r="E141" s="34"/>
      <c r="F141" s="35">
        <f>F142</f>
        <v>1</v>
      </c>
      <c r="G141" s="36">
        <f>G142</f>
        <v>32000000</v>
      </c>
    </row>
    <row r="142" ht="57" spans="1:7">
      <c r="A142" s="16"/>
      <c r="B142" s="10" t="s">
        <v>128</v>
      </c>
      <c r="C142" s="16">
        <v>0.8</v>
      </c>
      <c r="D142" s="16">
        <v>1</v>
      </c>
      <c r="E142" s="37">
        <f>$E$4</f>
        <v>40000000</v>
      </c>
      <c r="F142" s="38">
        <v>1</v>
      </c>
      <c r="G142" s="39">
        <f t="shared" si="17"/>
        <v>32000000</v>
      </c>
    </row>
    <row r="143" ht="57" spans="1:7">
      <c r="A143" s="14" t="s">
        <v>200</v>
      </c>
      <c r="B143" s="15" t="s">
        <v>114</v>
      </c>
      <c r="C143" s="14"/>
      <c r="D143" s="14"/>
      <c r="E143" s="34"/>
      <c r="F143" s="35">
        <f>SUM(F144:F145)</f>
        <v>1</v>
      </c>
      <c r="G143" s="36">
        <f>SUM(G144:G145)</f>
        <v>16000000</v>
      </c>
    </row>
    <row r="144" ht="57" spans="1:7">
      <c r="A144" s="16"/>
      <c r="B144" s="10" t="s">
        <v>122</v>
      </c>
      <c r="C144" s="16">
        <v>0.4</v>
      </c>
      <c r="D144" s="16">
        <v>1</v>
      </c>
      <c r="E144" s="37">
        <f>$E$4</f>
        <v>40000000</v>
      </c>
      <c r="F144" s="38">
        <v>0.5</v>
      </c>
      <c r="G144" s="39">
        <f t="shared" si="17"/>
        <v>8000000</v>
      </c>
    </row>
    <row r="145" ht="57" spans="1:7">
      <c r="A145" s="16"/>
      <c r="B145" s="10" t="s">
        <v>115</v>
      </c>
      <c r="C145" s="16">
        <v>0.4</v>
      </c>
      <c r="D145" s="16">
        <v>1</v>
      </c>
      <c r="E145" s="37">
        <f>$E$4</f>
        <v>40000000</v>
      </c>
      <c r="F145" s="38">
        <v>0.5</v>
      </c>
      <c r="G145" s="39">
        <f t="shared" si="17"/>
        <v>8000000</v>
      </c>
    </row>
    <row r="146" ht="85.5" spans="1:7">
      <c r="A146" s="14" t="s">
        <v>201</v>
      </c>
      <c r="B146" s="15" t="s">
        <v>131</v>
      </c>
      <c r="C146" s="14"/>
      <c r="D146" s="14"/>
      <c r="E146" s="34"/>
      <c r="F146" s="35">
        <f>SUM(F147:F148)</f>
        <v>1.5</v>
      </c>
      <c r="G146" s="36">
        <f>SUM(G147:G148)</f>
        <v>12000000</v>
      </c>
    </row>
    <row r="147" ht="42.75" spans="1:7">
      <c r="A147" s="16"/>
      <c r="B147" s="10" t="s">
        <v>121</v>
      </c>
      <c r="C147" s="16">
        <v>0.2</v>
      </c>
      <c r="D147" s="16">
        <v>1</v>
      </c>
      <c r="E147" s="37">
        <f>$E$4</f>
        <v>40000000</v>
      </c>
      <c r="F147" s="38">
        <v>0.5</v>
      </c>
      <c r="G147" s="39">
        <f t="shared" ref="G147:G151" si="18">C147*E147*F147</f>
        <v>4000000</v>
      </c>
    </row>
    <row r="148" ht="42.75" spans="1:7">
      <c r="A148" s="16"/>
      <c r="B148" s="10" t="s">
        <v>116</v>
      </c>
      <c r="C148" s="16">
        <v>0.2</v>
      </c>
      <c r="D148" s="16">
        <v>1</v>
      </c>
      <c r="E148" s="37">
        <f>$E$4</f>
        <v>40000000</v>
      </c>
      <c r="F148" s="38">
        <v>1</v>
      </c>
      <c r="G148" s="39">
        <f t="shared" si="18"/>
        <v>8000000</v>
      </c>
    </row>
    <row r="149" ht="285" spans="1:7">
      <c r="A149" s="14">
        <v>6.4</v>
      </c>
      <c r="B149" s="15" t="s">
        <v>202</v>
      </c>
      <c r="C149" s="16"/>
      <c r="D149" s="16"/>
      <c r="E149" s="31"/>
      <c r="F149" s="40">
        <f>SUM(F150,F152,F155)</f>
        <v>3.5</v>
      </c>
      <c r="G149" s="36">
        <f>SUM(G150,G152,G155)</f>
        <v>56000000</v>
      </c>
    </row>
    <row r="150" ht="57" spans="1:7">
      <c r="A150" s="14" t="s">
        <v>203</v>
      </c>
      <c r="B150" s="15" t="s">
        <v>111</v>
      </c>
      <c r="C150" s="14"/>
      <c r="D150" s="14"/>
      <c r="E150" s="34"/>
      <c r="F150" s="35">
        <f>F151</f>
        <v>0.5</v>
      </c>
      <c r="G150" s="36">
        <f>G151</f>
        <v>16000000</v>
      </c>
    </row>
    <row r="151" ht="57" spans="1:7">
      <c r="A151" s="16"/>
      <c r="B151" s="10" t="str">
        <f>B142</f>
        <v>PGS.TS. Lưu Thị Diệu Chinh</v>
      </c>
      <c r="C151" s="16">
        <v>0.8</v>
      </c>
      <c r="D151" s="16">
        <v>1</v>
      </c>
      <c r="E151" s="37">
        <f>$E$4</f>
        <v>40000000</v>
      </c>
      <c r="F151" s="38">
        <v>0.5</v>
      </c>
      <c r="G151" s="39">
        <f t="shared" si="18"/>
        <v>16000000</v>
      </c>
    </row>
    <row r="152" ht="57" spans="1:7">
      <c r="A152" s="14" t="s">
        <v>204</v>
      </c>
      <c r="B152" s="15" t="s">
        <v>114</v>
      </c>
      <c r="C152" s="14"/>
      <c r="D152" s="14"/>
      <c r="E152" s="34"/>
      <c r="F152" s="35">
        <f>SUM(F153:F154)</f>
        <v>2</v>
      </c>
      <c r="G152" s="36">
        <f>SUM(G153:G154)</f>
        <v>32000000</v>
      </c>
    </row>
    <row r="153" ht="57" spans="1:7">
      <c r="A153" s="16"/>
      <c r="B153" s="10" t="s">
        <v>205</v>
      </c>
      <c r="C153" s="16">
        <v>0.4</v>
      </c>
      <c r="D153" s="16">
        <v>1</v>
      </c>
      <c r="E153" s="37">
        <f>$E$4</f>
        <v>40000000</v>
      </c>
      <c r="F153" s="38">
        <v>1</v>
      </c>
      <c r="G153" s="39">
        <f t="shared" ref="G153:G156" si="19">C153*E153*F153</f>
        <v>16000000</v>
      </c>
    </row>
    <row r="154" ht="42.75" spans="1:7">
      <c r="A154" s="16"/>
      <c r="B154" s="10" t="s">
        <v>112</v>
      </c>
      <c r="C154" s="16">
        <v>0.4</v>
      </c>
      <c r="D154" s="16">
        <v>1</v>
      </c>
      <c r="E154" s="37">
        <f>$E$4</f>
        <v>40000000</v>
      </c>
      <c r="F154" s="38">
        <v>1</v>
      </c>
      <c r="G154" s="39">
        <f t="shared" si="19"/>
        <v>16000000</v>
      </c>
    </row>
    <row r="155" ht="85.5" spans="1:7">
      <c r="A155" s="14" t="s">
        <v>206</v>
      </c>
      <c r="B155" s="15" t="s">
        <v>131</v>
      </c>
      <c r="C155" s="14"/>
      <c r="D155" s="14"/>
      <c r="E155" s="34"/>
      <c r="F155" s="35">
        <f>SUM(F156:F156)</f>
        <v>1</v>
      </c>
      <c r="G155" s="36">
        <f>SUM(G156:G156)</f>
        <v>8000000</v>
      </c>
    </row>
    <row r="156" ht="42.75" spans="1:7">
      <c r="A156" s="16"/>
      <c r="B156" s="10" t="s">
        <v>121</v>
      </c>
      <c r="C156" s="16">
        <v>0.2</v>
      </c>
      <c r="D156" s="16">
        <v>1</v>
      </c>
      <c r="E156" s="37">
        <f>$E$4</f>
        <v>40000000</v>
      </c>
      <c r="F156" s="38">
        <v>1</v>
      </c>
      <c r="G156" s="39">
        <f t="shared" si="19"/>
        <v>8000000</v>
      </c>
    </row>
    <row r="157" ht="270.75" spans="1:7">
      <c r="A157" s="14">
        <v>6.5</v>
      </c>
      <c r="B157" s="15" t="s">
        <v>207</v>
      </c>
      <c r="C157" s="16"/>
      <c r="D157" s="16"/>
      <c r="E157" s="31"/>
      <c r="F157" s="40">
        <f>SUM(F158,F160,F164)</f>
        <v>3.5</v>
      </c>
      <c r="G157" s="36">
        <f>SUM(G158,G160,G164)</f>
        <v>56000000</v>
      </c>
    </row>
    <row r="158" ht="57" spans="1:7">
      <c r="A158" s="14" t="s">
        <v>208</v>
      </c>
      <c r="B158" s="15" t="s">
        <v>111</v>
      </c>
      <c r="C158" s="14"/>
      <c r="D158" s="14"/>
      <c r="E158" s="34"/>
      <c r="F158" s="35">
        <f>F159</f>
        <v>0.5</v>
      </c>
      <c r="G158" s="36">
        <f>G159</f>
        <v>16000000</v>
      </c>
    </row>
    <row r="159" ht="57" spans="1:7">
      <c r="A159" s="16"/>
      <c r="B159" s="10" t="str">
        <f>B151</f>
        <v>PGS.TS. Lưu Thị Diệu Chinh</v>
      </c>
      <c r="C159" s="16">
        <v>0.8</v>
      </c>
      <c r="D159" s="16">
        <v>1</v>
      </c>
      <c r="E159" s="37">
        <f>$E$4</f>
        <v>40000000</v>
      </c>
      <c r="F159" s="38">
        <v>0.5</v>
      </c>
      <c r="G159" s="39">
        <f t="shared" ref="G159:G163" si="20">C159*E159*F159</f>
        <v>16000000</v>
      </c>
    </row>
    <row r="160" ht="57" spans="1:7">
      <c r="A160" s="14" t="s">
        <v>209</v>
      </c>
      <c r="B160" s="15" t="s">
        <v>114</v>
      </c>
      <c r="C160" s="14"/>
      <c r="D160" s="14"/>
      <c r="E160" s="34"/>
      <c r="F160" s="35">
        <f>SUM(F161:F163)</f>
        <v>2</v>
      </c>
      <c r="G160" s="36">
        <f>SUM(G161:G163)</f>
        <v>32000000</v>
      </c>
    </row>
    <row r="161" ht="57" spans="1:7">
      <c r="A161" s="16"/>
      <c r="B161" s="10" t="s">
        <v>205</v>
      </c>
      <c r="C161" s="16">
        <v>0.4</v>
      </c>
      <c r="D161" s="16">
        <v>1</v>
      </c>
      <c r="E161" s="37">
        <f>$E$4</f>
        <v>40000000</v>
      </c>
      <c r="F161" s="38">
        <v>0.5</v>
      </c>
      <c r="G161" s="39">
        <f t="shared" si="20"/>
        <v>8000000</v>
      </c>
    </row>
    <row r="162" ht="42.75" spans="1:7">
      <c r="A162" s="16"/>
      <c r="B162" s="10" t="s">
        <v>129</v>
      </c>
      <c r="C162" s="16">
        <v>0.4</v>
      </c>
      <c r="D162" s="16">
        <v>1</v>
      </c>
      <c r="E162" s="37">
        <f>$E$4</f>
        <v>40000000</v>
      </c>
      <c r="F162" s="38">
        <v>0.5</v>
      </c>
      <c r="G162" s="39">
        <f t="shared" si="20"/>
        <v>8000000</v>
      </c>
    </row>
    <row r="163" ht="57" spans="1:7">
      <c r="A163" s="16"/>
      <c r="B163" s="10" t="s">
        <v>122</v>
      </c>
      <c r="C163" s="16">
        <v>0.4</v>
      </c>
      <c r="D163" s="16">
        <v>1</v>
      </c>
      <c r="E163" s="37">
        <f>$E$4</f>
        <v>40000000</v>
      </c>
      <c r="F163" s="38">
        <v>1</v>
      </c>
      <c r="G163" s="39">
        <f t="shared" si="20"/>
        <v>16000000</v>
      </c>
    </row>
    <row r="164" ht="85.5" spans="1:7">
      <c r="A164" s="14" t="s">
        <v>210</v>
      </c>
      <c r="B164" s="15" t="s">
        <v>131</v>
      </c>
      <c r="C164" s="14"/>
      <c r="D164" s="14"/>
      <c r="E164" s="34"/>
      <c r="F164" s="35">
        <f>SUM(F165:F166)</f>
        <v>1</v>
      </c>
      <c r="G164" s="36">
        <f>SUM(G165:G166)</f>
        <v>8000000</v>
      </c>
    </row>
    <row r="165" ht="42.75" spans="1:7">
      <c r="A165" s="16"/>
      <c r="B165" s="10" t="s">
        <v>121</v>
      </c>
      <c r="C165" s="16">
        <v>0.2</v>
      </c>
      <c r="D165" s="16">
        <v>1</v>
      </c>
      <c r="E165" s="37">
        <f>$E$4</f>
        <v>40000000</v>
      </c>
      <c r="F165" s="38">
        <v>0.5</v>
      </c>
      <c r="G165" s="39">
        <f t="shared" ref="G165:G168" si="21">C165*E165*F165</f>
        <v>4000000</v>
      </c>
    </row>
    <row r="166" ht="42.75" spans="1:7">
      <c r="A166" s="16"/>
      <c r="B166" s="10" t="s">
        <v>116</v>
      </c>
      <c r="C166" s="16">
        <v>0.2</v>
      </c>
      <c r="D166" s="16">
        <v>1</v>
      </c>
      <c r="E166" s="37">
        <f>$E$4</f>
        <v>40000000</v>
      </c>
      <c r="F166" s="38">
        <v>0.5</v>
      </c>
      <c r="G166" s="39">
        <f t="shared" si="21"/>
        <v>4000000</v>
      </c>
    </row>
    <row r="167" ht="57" spans="1:7">
      <c r="A167" s="7">
        <v>7</v>
      </c>
      <c r="B167" s="9" t="s">
        <v>211</v>
      </c>
      <c r="C167" s="10"/>
      <c r="D167" s="10"/>
      <c r="E167" s="10"/>
      <c r="F167" s="43"/>
      <c r="G167" s="44">
        <f>G168</f>
        <v>288000000</v>
      </c>
    </row>
    <row r="168" ht="42.75" spans="1:7">
      <c r="A168" s="7"/>
      <c r="B168" s="10" t="s">
        <v>112</v>
      </c>
      <c r="C168" s="10">
        <v>1</v>
      </c>
      <c r="D168" s="10">
        <v>1</v>
      </c>
      <c r="E168" s="45">
        <f>$E$4</f>
        <v>40000000</v>
      </c>
      <c r="F168" s="38">
        <f>20%*36</f>
        <v>7.2</v>
      </c>
      <c r="G168" s="45">
        <f t="shared" si="21"/>
        <v>288000000</v>
      </c>
    </row>
    <row r="169" ht="64.5" spans="1:7">
      <c r="A169" s="7"/>
      <c r="B169" s="10" t="s">
        <v>212</v>
      </c>
      <c r="C169" s="9"/>
      <c r="D169" s="9"/>
      <c r="E169" s="44"/>
      <c r="F169" s="24" t="s">
        <v>213</v>
      </c>
      <c r="G169" s="44"/>
    </row>
    <row r="170" ht="57" spans="1:7">
      <c r="A170" s="7">
        <v>8</v>
      </c>
      <c r="B170" s="9" t="s">
        <v>214</v>
      </c>
      <c r="C170" s="10"/>
      <c r="D170" s="10"/>
      <c r="E170" s="10"/>
      <c r="F170" s="43"/>
      <c r="G170" s="44">
        <f>G171</f>
        <v>86400000</v>
      </c>
    </row>
    <row r="171" ht="57" spans="1:7">
      <c r="A171" s="7"/>
      <c r="B171" s="10" t="s">
        <v>128</v>
      </c>
      <c r="C171" s="10">
        <v>0.3</v>
      </c>
      <c r="D171" s="10">
        <v>1</v>
      </c>
      <c r="E171" s="45">
        <f>$E$4</f>
        <v>40000000</v>
      </c>
      <c r="F171" s="38">
        <f>20%*36</f>
        <v>7.2</v>
      </c>
      <c r="G171" s="45">
        <f>C171*E171*F171</f>
        <v>86400000</v>
      </c>
    </row>
    <row r="172" ht="64.5" spans="1:7">
      <c r="A172" s="7"/>
      <c r="B172" s="10" t="s">
        <v>215</v>
      </c>
      <c r="C172" s="9"/>
      <c r="D172" s="9"/>
      <c r="E172" s="44"/>
      <c r="F172" s="24" t="s">
        <v>213</v>
      </c>
      <c r="G172" s="44"/>
    </row>
    <row r="173" ht="42.75" spans="1:7">
      <c r="A173" s="7" t="s">
        <v>216</v>
      </c>
      <c r="B173" s="9" t="s">
        <v>217</v>
      </c>
      <c r="C173" s="10" t="s">
        <v>218</v>
      </c>
      <c r="D173" s="10"/>
      <c r="E173" s="10"/>
      <c r="F173" s="10"/>
      <c r="G173" s="10"/>
    </row>
    <row r="174" ht="30" spans="1:7">
      <c r="A174" s="41"/>
      <c r="B174" s="42" t="s">
        <v>219</v>
      </c>
      <c r="C174" s="41"/>
      <c r="D174" s="41"/>
      <c r="E174" s="46"/>
      <c r="F174" s="47"/>
      <c r="G174" s="48">
        <f>G8</f>
        <v>1158400000</v>
      </c>
    </row>
  </sheetData>
  <mergeCells count="9">
    <mergeCell ref="A1:G1"/>
    <mergeCell ref="A2:C2"/>
    <mergeCell ref="D2:E2"/>
    <mergeCell ref="F2:G2"/>
    <mergeCell ref="B4:D4"/>
    <mergeCell ref="C7:G7"/>
    <mergeCell ref="C173:G173"/>
    <mergeCell ref="A167:A169"/>
    <mergeCell ref="A170:A172"/>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zoomScale="145" zoomScaleNormal="145" workbookViewId="0">
      <selection activeCell="A1" sqref="A1:H15"/>
    </sheetView>
  </sheetViews>
  <sheetFormatPr defaultColWidth="9" defaultRowHeight="14.25" outlineLevelCol="7"/>
  <cols>
    <col min="2" max="2" width="32.7916666666667" customWidth="1"/>
    <col min="3" max="3" width="22.3583333333333" customWidth="1"/>
    <col min="4" max="4" width="9.78333333333333" customWidth="1"/>
    <col min="7" max="7" width="11.5" customWidth="1"/>
    <col min="8" max="8" width="11.5"/>
  </cols>
  <sheetData>
    <row r="1" ht="15" spans="1:8">
      <c r="A1" s="89" t="s">
        <v>220</v>
      </c>
      <c r="B1" s="89"/>
      <c r="C1" s="89"/>
      <c r="D1" s="89"/>
      <c r="E1" s="89"/>
      <c r="F1" s="89"/>
      <c r="G1" s="89"/>
      <c r="H1" s="89"/>
    </row>
    <row r="2" ht="60" spans="1:8">
      <c r="A2" s="90" t="s">
        <v>221</v>
      </c>
      <c r="B2" s="90" t="s">
        <v>222</v>
      </c>
      <c r="C2" s="90" t="s">
        <v>223</v>
      </c>
      <c r="D2" s="90" t="s">
        <v>224</v>
      </c>
      <c r="E2" s="90" t="s">
        <v>2</v>
      </c>
      <c r="F2" s="96" t="s">
        <v>225</v>
      </c>
      <c r="G2" s="97" t="s">
        <v>226</v>
      </c>
      <c r="H2" s="98" t="s">
        <v>227</v>
      </c>
    </row>
    <row r="3" ht="15" spans="1:8">
      <c r="A3" s="91">
        <v>1</v>
      </c>
      <c r="B3" s="92" t="s">
        <v>16</v>
      </c>
      <c r="C3" s="93"/>
      <c r="D3" s="94" t="s">
        <v>17</v>
      </c>
      <c r="E3" s="94">
        <v>50</v>
      </c>
      <c r="F3" s="94">
        <v>16000</v>
      </c>
      <c r="G3" s="99">
        <f t="shared" ref="G3:G14" si="0">E3*F3</f>
        <v>800000</v>
      </c>
      <c r="H3" s="100">
        <f t="shared" ref="H3:H14" si="1">G3</f>
        <v>800000</v>
      </c>
    </row>
    <row r="4" ht="15" spans="1:8">
      <c r="A4" s="91">
        <v>2</v>
      </c>
      <c r="B4" s="92" t="s">
        <v>18</v>
      </c>
      <c r="C4" s="93"/>
      <c r="D4" s="94" t="s">
        <v>19</v>
      </c>
      <c r="E4" s="94">
        <v>8</v>
      </c>
      <c r="F4" s="94">
        <v>1500000</v>
      </c>
      <c r="G4" s="99">
        <f t="shared" si="0"/>
        <v>12000000</v>
      </c>
      <c r="H4" s="100">
        <f t="shared" si="1"/>
        <v>12000000</v>
      </c>
    </row>
    <row r="5" ht="15" spans="1:8">
      <c r="A5" s="91">
        <v>3</v>
      </c>
      <c r="B5" s="92" t="s">
        <v>20</v>
      </c>
      <c r="C5" s="93"/>
      <c r="D5" s="94" t="s">
        <v>19</v>
      </c>
      <c r="E5" s="94">
        <v>2</v>
      </c>
      <c r="F5" s="94">
        <v>950000</v>
      </c>
      <c r="G5" s="99">
        <f t="shared" si="0"/>
        <v>1900000</v>
      </c>
      <c r="H5" s="100">
        <f t="shared" si="1"/>
        <v>1900000</v>
      </c>
    </row>
    <row r="6" ht="15" spans="1:8">
      <c r="A6" s="91">
        <v>4</v>
      </c>
      <c r="B6" s="92" t="s">
        <v>21</v>
      </c>
      <c r="C6" s="93"/>
      <c r="D6" s="94" t="s">
        <v>19</v>
      </c>
      <c r="E6" s="94">
        <v>2</v>
      </c>
      <c r="F6" s="94">
        <v>1000000</v>
      </c>
      <c r="G6" s="99">
        <f t="shared" si="0"/>
        <v>2000000</v>
      </c>
      <c r="H6" s="100">
        <f t="shared" si="1"/>
        <v>2000000</v>
      </c>
    </row>
    <row r="7" ht="15" spans="1:8">
      <c r="A7" s="91">
        <v>5</v>
      </c>
      <c r="B7" s="92" t="s">
        <v>22</v>
      </c>
      <c r="C7" s="93"/>
      <c r="D7" s="94" t="s">
        <v>19</v>
      </c>
      <c r="E7" s="94">
        <v>2</v>
      </c>
      <c r="F7" s="94">
        <v>5000000</v>
      </c>
      <c r="G7" s="99">
        <f t="shared" si="0"/>
        <v>10000000</v>
      </c>
      <c r="H7" s="100">
        <f t="shared" si="1"/>
        <v>10000000</v>
      </c>
    </row>
    <row r="8" ht="15" spans="1:8">
      <c r="A8" s="91">
        <v>6</v>
      </c>
      <c r="B8" s="92" t="s">
        <v>23</v>
      </c>
      <c r="C8" s="93"/>
      <c r="D8" s="94" t="s">
        <v>24</v>
      </c>
      <c r="E8" s="94">
        <v>1</v>
      </c>
      <c r="F8" s="94">
        <v>800000</v>
      </c>
      <c r="G8" s="99">
        <f t="shared" si="0"/>
        <v>800000</v>
      </c>
      <c r="H8" s="100">
        <f t="shared" si="1"/>
        <v>800000</v>
      </c>
    </row>
    <row r="9" ht="15" spans="1:8">
      <c r="A9" s="95">
        <v>7</v>
      </c>
      <c r="B9" s="92" t="s">
        <v>25</v>
      </c>
      <c r="C9" s="95"/>
      <c r="D9" s="94" t="s">
        <v>26</v>
      </c>
      <c r="E9" s="94">
        <v>0</v>
      </c>
      <c r="F9" s="94">
        <v>0</v>
      </c>
      <c r="G9" s="99">
        <f t="shared" si="0"/>
        <v>0</v>
      </c>
      <c r="H9" s="100">
        <f t="shared" si="1"/>
        <v>0</v>
      </c>
    </row>
    <row r="10" ht="15" spans="1:8">
      <c r="A10" s="95">
        <v>8</v>
      </c>
      <c r="B10" s="92" t="s">
        <v>27</v>
      </c>
      <c r="C10" s="95"/>
      <c r="D10" s="94" t="s">
        <v>28</v>
      </c>
      <c r="E10" s="94">
        <v>0</v>
      </c>
      <c r="F10" s="94">
        <v>0</v>
      </c>
      <c r="G10" s="99">
        <f t="shared" si="0"/>
        <v>0</v>
      </c>
      <c r="H10" s="100">
        <f t="shared" si="1"/>
        <v>0</v>
      </c>
    </row>
    <row r="11" ht="15" spans="1:8">
      <c r="A11" s="95">
        <v>9</v>
      </c>
      <c r="B11" s="92" t="s">
        <v>29</v>
      </c>
      <c r="C11" s="95"/>
      <c r="D11" s="94" t="s">
        <v>30</v>
      </c>
      <c r="E11" s="94">
        <v>0</v>
      </c>
      <c r="F11" s="94">
        <v>12000000</v>
      </c>
      <c r="G11" s="99">
        <f t="shared" si="0"/>
        <v>0</v>
      </c>
      <c r="H11" s="100">
        <f t="shared" si="1"/>
        <v>0</v>
      </c>
    </row>
    <row r="12" ht="15" spans="1:8">
      <c r="A12" s="95">
        <v>10</v>
      </c>
      <c r="B12" s="92" t="s">
        <v>31</v>
      </c>
      <c r="C12" s="95"/>
      <c r="D12" s="94" t="s">
        <v>32</v>
      </c>
      <c r="E12" s="94">
        <v>4</v>
      </c>
      <c r="F12" s="94">
        <v>25000000</v>
      </c>
      <c r="G12" s="99">
        <f t="shared" si="0"/>
        <v>100000000</v>
      </c>
      <c r="H12" s="100">
        <f t="shared" si="1"/>
        <v>100000000</v>
      </c>
    </row>
    <row r="13" ht="15" spans="1:8">
      <c r="A13" s="95">
        <v>11</v>
      </c>
      <c r="B13" s="92" t="s">
        <v>33</v>
      </c>
      <c r="C13" s="95"/>
      <c r="D13" s="94" t="s">
        <v>30</v>
      </c>
      <c r="E13" s="94">
        <v>10</v>
      </c>
      <c r="F13" s="94">
        <v>500000</v>
      </c>
      <c r="G13" s="99">
        <f t="shared" si="0"/>
        <v>5000000</v>
      </c>
      <c r="H13" s="100">
        <f t="shared" si="1"/>
        <v>5000000</v>
      </c>
    </row>
    <row r="14" ht="15" spans="1:8">
      <c r="A14" s="95">
        <v>12</v>
      </c>
      <c r="B14" s="92" t="s">
        <v>34</v>
      </c>
      <c r="C14" s="95"/>
      <c r="D14" s="94" t="s">
        <v>30</v>
      </c>
      <c r="E14" s="94">
        <v>5</v>
      </c>
      <c r="F14" s="94">
        <v>200000</v>
      </c>
      <c r="G14" s="99">
        <f t="shared" si="0"/>
        <v>1000000</v>
      </c>
      <c r="H14" s="100">
        <f t="shared" si="1"/>
        <v>1000000</v>
      </c>
    </row>
    <row r="15" ht="15" spans="1:8">
      <c r="A15" s="95" t="s">
        <v>228</v>
      </c>
      <c r="B15" s="95"/>
      <c r="C15" s="95"/>
      <c r="D15" s="95"/>
      <c r="E15" s="95"/>
      <c r="F15" s="95"/>
      <c r="G15" s="101">
        <f>SUM(G3:G14)</f>
        <v>133500000</v>
      </c>
      <c r="H15" s="101">
        <f>SUM(H3:H14)</f>
        <v>133500000</v>
      </c>
    </row>
  </sheetData>
  <mergeCells count="2">
    <mergeCell ref="A1:H1"/>
    <mergeCell ref="A15:F1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zoomScale="115" zoomScaleNormal="115" workbookViewId="0">
      <selection activeCell="A1" sqref="A1:F1"/>
    </sheetView>
  </sheetViews>
  <sheetFormatPr defaultColWidth="9" defaultRowHeight="14.25" outlineLevelCol="5"/>
  <cols>
    <col min="2" max="2" width="33.5" customWidth="1"/>
    <col min="5" max="5" width="14.5583333333333" customWidth="1"/>
    <col min="6" max="6" width="14.375" customWidth="1"/>
  </cols>
  <sheetData>
    <row r="1" ht="15" spans="1:6">
      <c r="A1" s="4" t="s">
        <v>229</v>
      </c>
      <c r="B1" s="4"/>
      <c r="C1" s="4"/>
      <c r="D1" s="4"/>
      <c r="E1" s="4"/>
      <c r="F1" s="4"/>
    </row>
    <row r="2" ht="15" spans="1:6">
      <c r="A2" s="4" t="s">
        <v>230</v>
      </c>
      <c r="B2" s="4"/>
      <c r="C2" s="4"/>
      <c r="D2" s="4"/>
      <c r="E2" s="4"/>
      <c r="F2" s="4"/>
    </row>
    <row r="3" ht="60" spans="1:6">
      <c r="A3" s="42" t="s">
        <v>221</v>
      </c>
      <c r="B3" s="59" t="s">
        <v>231</v>
      </c>
      <c r="C3" s="42" t="s">
        <v>2</v>
      </c>
      <c r="D3" s="42"/>
      <c r="E3" s="74" t="s">
        <v>232</v>
      </c>
      <c r="F3" s="74" t="s">
        <v>233</v>
      </c>
    </row>
    <row r="4" ht="30" spans="1:6">
      <c r="A4" s="60">
        <v>1</v>
      </c>
      <c r="B4" s="61" t="s">
        <v>234</v>
      </c>
      <c r="C4" s="62">
        <v>1</v>
      </c>
      <c r="D4" s="63"/>
      <c r="E4" s="75">
        <v>900000</v>
      </c>
      <c r="F4" s="76">
        <f t="shared" ref="F4:F10" si="0">C4*E4</f>
        <v>900000</v>
      </c>
    </row>
    <row r="5" ht="45" spans="1:6">
      <c r="A5" s="60">
        <v>2</v>
      </c>
      <c r="B5" s="61" t="s">
        <v>235</v>
      </c>
      <c r="C5" s="62">
        <v>1</v>
      </c>
      <c r="D5" s="63"/>
      <c r="E5" s="75">
        <v>300000</v>
      </c>
      <c r="F5" s="76">
        <f t="shared" si="0"/>
        <v>300000</v>
      </c>
    </row>
    <row r="6" ht="90" spans="1:6">
      <c r="A6" s="60">
        <v>3</v>
      </c>
      <c r="B6" s="61" t="s">
        <v>236</v>
      </c>
      <c r="C6" s="62">
        <v>3</v>
      </c>
      <c r="D6" s="63"/>
      <c r="E6" s="75">
        <v>1200000</v>
      </c>
      <c r="F6" s="76">
        <f t="shared" si="0"/>
        <v>3600000</v>
      </c>
    </row>
    <row r="7" ht="60" spans="1:6">
      <c r="A7" s="60">
        <v>4</v>
      </c>
      <c r="B7" s="61" t="s">
        <v>237</v>
      </c>
      <c r="C7" s="62">
        <v>3</v>
      </c>
      <c r="D7" s="63"/>
      <c r="E7" s="75">
        <v>600000</v>
      </c>
      <c r="F7" s="76">
        <f t="shared" si="0"/>
        <v>1800000</v>
      </c>
    </row>
    <row r="8" ht="45" spans="1:6">
      <c r="A8" s="60">
        <v>5</v>
      </c>
      <c r="B8" s="61" t="s">
        <v>238</v>
      </c>
      <c r="C8" s="62">
        <v>20</v>
      </c>
      <c r="D8" s="63"/>
      <c r="E8" s="75">
        <v>150000</v>
      </c>
      <c r="F8" s="76">
        <f t="shared" si="0"/>
        <v>3000000</v>
      </c>
    </row>
    <row r="9" ht="30" spans="1:6">
      <c r="A9" s="60">
        <v>6</v>
      </c>
      <c r="B9" s="61" t="s">
        <v>239</v>
      </c>
      <c r="C9" s="62">
        <v>30</v>
      </c>
      <c r="D9" s="63"/>
      <c r="E9" s="75">
        <v>5000</v>
      </c>
      <c r="F9" s="76">
        <f t="shared" si="0"/>
        <v>150000</v>
      </c>
    </row>
    <row r="10" ht="15" spans="1:6">
      <c r="A10" s="60">
        <v>7</v>
      </c>
      <c r="B10" s="61" t="s">
        <v>240</v>
      </c>
      <c r="C10" s="41"/>
      <c r="D10" s="41"/>
      <c r="E10" s="77"/>
      <c r="F10" s="78">
        <f t="shared" si="0"/>
        <v>0</v>
      </c>
    </row>
    <row r="11" ht="15" spans="1:6">
      <c r="A11" s="42" t="s">
        <v>228</v>
      </c>
      <c r="B11" s="42"/>
      <c r="C11" s="42"/>
      <c r="D11" s="42"/>
      <c r="E11" s="42"/>
      <c r="F11" s="79">
        <f>SUM(F4:F10)</f>
        <v>9750000</v>
      </c>
    </row>
    <row r="12" ht="15" spans="1:6">
      <c r="A12" s="64"/>
      <c r="B12" s="64"/>
      <c r="C12" s="64"/>
      <c r="D12" s="64"/>
      <c r="E12" s="64"/>
      <c r="F12" s="80"/>
    </row>
    <row r="13" ht="15" spans="1:6">
      <c r="A13" s="65" t="s">
        <v>241</v>
      </c>
      <c r="B13" s="65"/>
      <c r="C13" s="65"/>
      <c r="D13" s="66"/>
      <c r="E13" s="65"/>
      <c r="F13" s="65"/>
    </row>
    <row r="14" ht="15" spans="1:6">
      <c r="A14" s="59" t="s">
        <v>221</v>
      </c>
      <c r="B14" s="59" t="s">
        <v>242</v>
      </c>
      <c r="C14" s="67" t="s">
        <v>243</v>
      </c>
      <c r="D14" s="68"/>
      <c r="E14" s="81"/>
      <c r="F14" s="82" t="s">
        <v>226</v>
      </c>
    </row>
    <row r="15" ht="60" spans="1:6">
      <c r="A15" s="69"/>
      <c r="B15" s="69"/>
      <c r="C15" s="42" t="s">
        <v>224</v>
      </c>
      <c r="D15" s="42" t="s">
        <v>2</v>
      </c>
      <c r="E15" s="42" t="s">
        <v>244</v>
      </c>
      <c r="F15" s="83"/>
    </row>
    <row r="16" ht="15" spans="1:6">
      <c r="A16" s="52" t="s">
        <v>245</v>
      </c>
      <c r="B16" s="70" t="s">
        <v>246</v>
      </c>
      <c r="C16" s="71"/>
      <c r="D16" s="71"/>
      <c r="E16" s="71"/>
      <c r="F16" s="84">
        <f>SUM(F17:F20)</f>
        <v>115100000</v>
      </c>
    </row>
    <row r="17" ht="90" spans="1:6">
      <c r="A17" s="52">
        <v>1</v>
      </c>
      <c r="B17" s="63" t="s">
        <v>247</v>
      </c>
      <c r="C17" s="52">
        <v>4</v>
      </c>
      <c r="D17" s="52">
        <v>2</v>
      </c>
      <c r="E17" s="75">
        <v>3000000</v>
      </c>
      <c r="F17" s="85">
        <f>E17*C17*D17</f>
        <v>24000000</v>
      </c>
    </row>
    <row r="18" ht="90" spans="1:6">
      <c r="A18" s="52">
        <v>2</v>
      </c>
      <c r="B18" s="63" t="s">
        <v>248</v>
      </c>
      <c r="C18" s="52">
        <v>4</v>
      </c>
      <c r="D18" s="52">
        <v>24</v>
      </c>
      <c r="E18" s="75">
        <v>350000</v>
      </c>
      <c r="F18" s="85">
        <f t="shared" ref="F18:F24" si="1">E18*D18*C18</f>
        <v>33600000</v>
      </c>
    </row>
    <row r="19" ht="75" spans="1:6">
      <c r="A19" s="52">
        <v>3</v>
      </c>
      <c r="B19" s="63" t="s">
        <v>249</v>
      </c>
      <c r="C19" s="52">
        <v>4</v>
      </c>
      <c r="D19" s="52">
        <v>25</v>
      </c>
      <c r="E19" s="75">
        <v>200000</v>
      </c>
      <c r="F19" s="85">
        <f t="shared" si="1"/>
        <v>20000000</v>
      </c>
    </row>
    <row r="20" ht="105" spans="1:6">
      <c r="A20" s="52">
        <v>4</v>
      </c>
      <c r="B20" s="63" t="s">
        <v>250</v>
      </c>
      <c r="C20" s="52">
        <v>4</v>
      </c>
      <c r="D20" s="52">
        <v>25</v>
      </c>
      <c r="E20" s="75">
        <v>1500000</v>
      </c>
      <c r="F20" s="85">
        <f>E20*D20</f>
        <v>37500000</v>
      </c>
    </row>
    <row r="21" ht="15" spans="1:6">
      <c r="A21" s="52" t="s">
        <v>251</v>
      </c>
      <c r="B21" s="70" t="s">
        <v>252</v>
      </c>
      <c r="C21" s="71"/>
      <c r="D21" s="71"/>
      <c r="E21" s="71"/>
      <c r="F21" s="84">
        <f>SUM(F22:F25)</f>
        <v>115100000</v>
      </c>
    </row>
    <row r="22" ht="90" spans="1:6">
      <c r="A22" s="52">
        <v>1</v>
      </c>
      <c r="B22" s="63" t="s">
        <v>247</v>
      </c>
      <c r="C22" s="52">
        <v>4</v>
      </c>
      <c r="D22" s="52">
        <v>2</v>
      </c>
      <c r="E22" s="75">
        <v>3000000</v>
      </c>
      <c r="F22" s="85">
        <f>E22*C22*D22</f>
        <v>24000000</v>
      </c>
    </row>
    <row r="23" ht="90" spans="1:6">
      <c r="A23" s="52">
        <v>2</v>
      </c>
      <c r="B23" s="63" t="s">
        <v>248</v>
      </c>
      <c r="C23" s="52">
        <v>4</v>
      </c>
      <c r="D23" s="52">
        <v>24</v>
      </c>
      <c r="E23" s="75">
        <v>350000</v>
      </c>
      <c r="F23" s="85">
        <f t="shared" si="1"/>
        <v>33600000</v>
      </c>
    </row>
    <row r="24" ht="75" spans="1:6">
      <c r="A24" s="52">
        <v>3</v>
      </c>
      <c r="B24" s="63" t="s">
        <v>249</v>
      </c>
      <c r="C24" s="52">
        <v>4</v>
      </c>
      <c r="D24" s="52">
        <v>25</v>
      </c>
      <c r="E24" s="75">
        <v>200000</v>
      </c>
      <c r="F24" s="85">
        <f t="shared" si="1"/>
        <v>20000000</v>
      </c>
    </row>
    <row r="25" ht="105" spans="1:6">
      <c r="A25" s="52">
        <v>4</v>
      </c>
      <c r="B25" s="63" t="s">
        <v>250</v>
      </c>
      <c r="C25" s="52">
        <v>4</v>
      </c>
      <c r="D25" s="52">
        <v>25</v>
      </c>
      <c r="E25" s="75">
        <v>1500000</v>
      </c>
      <c r="F25" s="85">
        <f>E25*D25</f>
        <v>37500000</v>
      </c>
    </row>
    <row r="26" ht="15" spans="1:6">
      <c r="A26" s="52" t="s">
        <v>253</v>
      </c>
      <c r="B26" s="70" t="s">
        <v>254</v>
      </c>
      <c r="C26" s="71"/>
      <c r="D26" s="71"/>
      <c r="E26" s="71"/>
      <c r="F26" s="84">
        <f>SUM(F27:F29)</f>
        <v>17500000</v>
      </c>
    </row>
    <row r="27" ht="90" spans="1:6">
      <c r="A27" s="52">
        <v>1</v>
      </c>
      <c r="B27" s="63" t="s">
        <v>247</v>
      </c>
      <c r="C27" s="52">
        <v>2</v>
      </c>
      <c r="D27" s="52">
        <v>2</v>
      </c>
      <c r="E27" s="75">
        <v>3000000</v>
      </c>
      <c r="F27" s="85">
        <f>E27*C27*D27</f>
        <v>12000000</v>
      </c>
    </row>
    <row r="28" ht="120" spans="1:6">
      <c r="A28" s="52">
        <v>2</v>
      </c>
      <c r="B28" s="63" t="s">
        <v>255</v>
      </c>
      <c r="C28" s="52">
        <v>2</v>
      </c>
      <c r="D28" s="52">
        <v>5</v>
      </c>
      <c r="E28" s="75">
        <v>350000</v>
      </c>
      <c r="F28" s="85">
        <f>C28*D28*E28</f>
        <v>3500000</v>
      </c>
    </row>
    <row r="29" ht="105" spans="1:6">
      <c r="A29" s="72">
        <v>3</v>
      </c>
      <c r="B29" s="73" t="s">
        <v>256</v>
      </c>
      <c r="C29" s="72">
        <v>2</v>
      </c>
      <c r="D29" s="72">
        <v>5</v>
      </c>
      <c r="E29" s="86">
        <v>200000</v>
      </c>
      <c r="F29" s="87">
        <f>C29*D29*E29</f>
        <v>2000000</v>
      </c>
    </row>
    <row r="30" ht="15" spans="1:6">
      <c r="A30" s="54" t="s">
        <v>228</v>
      </c>
      <c r="B30" s="54"/>
      <c r="C30" s="54"/>
      <c r="D30" s="54"/>
      <c r="E30" s="54"/>
      <c r="F30" s="88">
        <f>F21+F26+F16</f>
        <v>247700000</v>
      </c>
    </row>
  </sheetData>
  <mergeCells count="19">
    <mergeCell ref="A1:F1"/>
    <mergeCell ref="A2:F2"/>
    <mergeCell ref="C3:D3"/>
    <mergeCell ref="C4:D4"/>
    <mergeCell ref="C5:D5"/>
    <mergeCell ref="C6:D6"/>
    <mergeCell ref="C7:D7"/>
    <mergeCell ref="C8:D8"/>
    <mergeCell ref="C9:D9"/>
    <mergeCell ref="C10:D10"/>
    <mergeCell ref="A11:E11"/>
    <mergeCell ref="C14:E14"/>
    <mergeCell ref="B16:E16"/>
    <mergeCell ref="B21:E21"/>
    <mergeCell ref="B26:E26"/>
    <mergeCell ref="A30:E30"/>
    <mergeCell ref="A14:A15"/>
    <mergeCell ref="B14:B15"/>
    <mergeCell ref="F14:F15"/>
  </mergeCell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I31" sqref="I31"/>
    </sheetView>
  </sheetViews>
  <sheetFormatPr defaultColWidth="9" defaultRowHeight="14.25" outlineLevelRow="7" outlineLevelCol="5"/>
  <sheetData>
    <row r="1" ht="15" spans="1:6">
      <c r="A1" s="49" t="s">
        <v>257</v>
      </c>
      <c r="B1" s="50"/>
      <c r="C1" s="50"/>
      <c r="D1" s="50"/>
      <c r="E1" s="50"/>
      <c r="F1" s="50"/>
    </row>
    <row r="2" ht="60" spans="1:6">
      <c r="A2" s="51" t="s">
        <v>221</v>
      </c>
      <c r="B2" s="51" t="s">
        <v>258</v>
      </c>
      <c r="C2" s="51" t="s">
        <v>224</v>
      </c>
      <c r="D2" s="51" t="s">
        <v>2</v>
      </c>
      <c r="E2" s="42" t="s">
        <v>244</v>
      </c>
      <c r="F2" s="55" t="s">
        <v>259</v>
      </c>
    </row>
    <row r="3" ht="15" spans="1:6">
      <c r="A3" s="52">
        <v>1</v>
      </c>
      <c r="B3" s="53"/>
      <c r="C3" s="52"/>
      <c r="D3" s="52"/>
      <c r="E3" s="56"/>
      <c r="F3" s="57">
        <f t="shared" ref="F3:F7" si="0">D3*E3</f>
        <v>0</v>
      </c>
    </row>
    <row r="4" ht="15" spans="1:6">
      <c r="A4" s="52"/>
      <c r="B4" s="53"/>
      <c r="C4" s="52"/>
      <c r="D4" s="52"/>
      <c r="E4" s="56"/>
      <c r="F4" s="57">
        <f t="shared" si="0"/>
        <v>0</v>
      </c>
    </row>
    <row r="5" ht="15" spans="1:6">
      <c r="A5" s="52"/>
      <c r="B5" s="53"/>
      <c r="C5" s="52"/>
      <c r="D5" s="52"/>
      <c r="E5" s="56"/>
      <c r="F5" s="57">
        <f t="shared" si="0"/>
        <v>0</v>
      </c>
    </row>
    <row r="6" ht="15" spans="1:6">
      <c r="A6" s="52"/>
      <c r="B6" s="53"/>
      <c r="C6" s="52"/>
      <c r="D6" s="52"/>
      <c r="E6" s="56"/>
      <c r="F6" s="57">
        <f t="shared" si="0"/>
        <v>0</v>
      </c>
    </row>
    <row r="7" ht="15" spans="1:6">
      <c r="A7" s="52"/>
      <c r="B7" s="53"/>
      <c r="C7" s="52"/>
      <c r="D7" s="52"/>
      <c r="E7" s="56"/>
      <c r="F7" s="57">
        <f t="shared" si="0"/>
        <v>0</v>
      </c>
    </row>
    <row r="8" ht="15" spans="1:6">
      <c r="A8" s="54" t="s">
        <v>228</v>
      </c>
      <c r="B8" s="54"/>
      <c r="C8" s="54"/>
      <c r="D8" s="54"/>
      <c r="E8" s="54"/>
      <c r="F8" s="58">
        <f>SUM(F3:F7)</f>
        <v>0</v>
      </c>
    </row>
  </sheetData>
  <mergeCells count="1">
    <mergeCell ref="A8:E8"/>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4"/>
  <sheetViews>
    <sheetView topLeftCell="A172" workbookViewId="0">
      <selection activeCell="C178" sqref="C178"/>
    </sheetView>
  </sheetViews>
  <sheetFormatPr defaultColWidth="9" defaultRowHeight="14.25" outlineLevelCol="6"/>
  <cols>
    <col min="2" max="2" width="75.75" customWidth="1"/>
    <col min="5" max="5" width="17" customWidth="1"/>
    <col min="7" max="7" width="23.5" customWidth="1"/>
  </cols>
  <sheetData>
    <row r="1" ht="16.5" spans="1:7">
      <c r="A1" s="1" t="s">
        <v>88</v>
      </c>
      <c r="B1" s="1"/>
      <c r="C1" s="1"/>
      <c r="D1" s="1"/>
      <c r="E1" s="1"/>
      <c r="F1" s="1"/>
      <c r="G1" s="1"/>
    </row>
    <row r="2" ht="15" spans="1:7">
      <c r="A2" s="2" t="s">
        <v>89</v>
      </c>
      <c r="B2" s="2"/>
      <c r="C2" s="2"/>
      <c r="D2" s="3">
        <f>G174+G181+G188</f>
        <v>1158400000</v>
      </c>
      <c r="E2" s="17"/>
      <c r="F2" s="17" t="s">
        <v>90</v>
      </c>
      <c r="G2" s="17"/>
    </row>
    <row r="3" ht="15" spans="1:7">
      <c r="A3" s="4" t="s">
        <v>91</v>
      </c>
      <c r="B3" s="2"/>
      <c r="C3" s="2"/>
      <c r="D3" s="2"/>
      <c r="E3" s="2"/>
      <c r="F3" s="18"/>
      <c r="G3" s="2"/>
    </row>
    <row r="4" ht="15" spans="1:7">
      <c r="A4" s="5"/>
      <c r="B4" s="6" t="s">
        <v>92</v>
      </c>
      <c r="C4" s="6"/>
      <c r="D4" s="6"/>
      <c r="E4" s="19">
        <v>40000000</v>
      </c>
      <c r="F4" s="20" t="s">
        <v>93</v>
      </c>
      <c r="G4" s="21"/>
    </row>
    <row r="5" ht="99.75" spans="1:7">
      <c r="A5" s="7" t="s">
        <v>94</v>
      </c>
      <c r="B5" s="7" t="s">
        <v>95</v>
      </c>
      <c r="C5" s="7" t="s">
        <v>96</v>
      </c>
      <c r="D5" s="7" t="s">
        <v>97</v>
      </c>
      <c r="E5" s="7" t="s">
        <v>98</v>
      </c>
      <c r="F5" s="22" t="s">
        <v>99</v>
      </c>
      <c r="G5" s="23" t="s">
        <v>100</v>
      </c>
    </row>
    <row r="6" spans="1:7">
      <c r="A6" s="8">
        <v>1</v>
      </c>
      <c r="B6" s="8">
        <v>2</v>
      </c>
      <c r="C6" s="8">
        <v>3</v>
      </c>
      <c r="D6" s="8">
        <v>4</v>
      </c>
      <c r="E6" s="8">
        <v>5</v>
      </c>
      <c r="F6" s="24">
        <v>6</v>
      </c>
      <c r="G6" s="25" t="s">
        <v>101</v>
      </c>
    </row>
    <row r="7" ht="57" spans="1:7">
      <c r="A7" s="7" t="s">
        <v>102</v>
      </c>
      <c r="B7" s="9" t="s">
        <v>103</v>
      </c>
      <c r="C7" s="10" t="s">
        <v>104</v>
      </c>
      <c r="D7" s="10"/>
      <c r="E7" s="10"/>
      <c r="F7" s="10"/>
      <c r="G7" s="10"/>
    </row>
    <row r="8" ht="42.75" spans="1:7">
      <c r="A8" s="7" t="s">
        <v>105</v>
      </c>
      <c r="B8" s="9" t="s">
        <v>106</v>
      </c>
      <c r="C8" s="7"/>
      <c r="D8" s="7"/>
      <c r="E8" s="26"/>
      <c r="F8" s="22"/>
      <c r="G8" s="27">
        <f>SUM(G9,G22,G47,G77,G93,G125,G167,G170)</f>
        <v>1158400000</v>
      </c>
    </row>
    <row r="9" ht="409.5" spans="1:7">
      <c r="A9" s="11">
        <v>1</v>
      </c>
      <c r="B9" s="12" t="s">
        <v>260</v>
      </c>
      <c r="C9" s="13"/>
      <c r="D9" s="13"/>
      <c r="E9" s="28"/>
      <c r="F9" s="29"/>
      <c r="G9" s="30">
        <f>SUM(G10,G16)</f>
        <v>96000000</v>
      </c>
    </row>
    <row r="10" ht="228" spans="1:7">
      <c r="A10" s="14" t="s">
        <v>108</v>
      </c>
      <c r="B10" s="15" t="s">
        <v>261</v>
      </c>
      <c r="C10" s="16"/>
      <c r="D10" s="16"/>
      <c r="E10" s="31"/>
      <c r="F10" s="32">
        <f>SUM(F11,F13)</f>
        <v>2</v>
      </c>
      <c r="G10" s="33">
        <f>SUM(G11,G13)</f>
        <v>40000000</v>
      </c>
    </row>
    <row r="11" ht="57" spans="1:7">
      <c r="A11" s="14" t="s">
        <v>110</v>
      </c>
      <c r="B11" s="15" t="s">
        <v>111</v>
      </c>
      <c r="C11" s="14"/>
      <c r="D11" s="14"/>
      <c r="E11" s="34"/>
      <c r="F11" s="35">
        <f>F12</f>
        <v>0.5</v>
      </c>
      <c r="G11" s="36">
        <f>G12</f>
        <v>16000000</v>
      </c>
    </row>
    <row r="12" ht="42.75" spans="1:7">
      <c r="A12" s="16"/>
      <c r="B12" s="10" t="s">
        <v>112</v>
      </c>
      <c r="C12" s="16">
        <v>0.8</v>
      </c>
      <c r="D12" s="16">
        <v>1</v>
      </c>
      <c r="E12" s="37">
        <f>$E$4</f>
        <v>40000000</v>
      </c>
      <c r="F12" s="38">
        <v>0.5</v>
      </c>
      <c r="G12" s="39">
        <f t="shared" ref="G12:G15" si="0">C12*E12*F12</f>
        <v>16000000</v>
      </c>
    </row>
    <row r="13" ht="57" spans="1:7">
      <c r="A13" s="14" t="s">
        <v>113</v>
      </c>
      <c r="B13" s="15" t="s">
        <v>114</v>
      </c>
      <c r="C13" s="14"/>
      <c r="D13" s="14"/>
      <c r="E13" s="34"/>
      <c r="F13" s="35">
        <f>SUM(F14:F15)</f>
        <v>1.5</v>
      </c>
      <c r="G13" s="36">
        <f>SUM(G14:G15)</f>
        <v>24000000</v>
      </c>
    </row>
    <row r="14" ht="57" spans="1:7">
      <c r="A14" s="16"/>
      <c r="B14" s="10" t="s">
        <v>115</v>
      </c>
      <c r="C14" s="16">
        <v>0.4</v>
      </c>
      <c r="D14" s="16">
        <v>1</v>
      </c>
      <c r="E14" s="37">
        <f>$E$4</f>
        <v>40000000</v>
      </c>
      <c r="F14" s="38">
        <v>0.5</v>
      </c>
      <c r="G14" s="39">
        <f t="shared" si="0"/>
        <v>8000000</v>
      </c>
    </row>
    <row r="15" ht="42.75" spans="1:7">
      <c r="A15" s="16"/>
      <c r="B15" s="10" t="s">
        <v>116</v>
      </c>
      <c r="C15" s="16">
        <v>0.4</v>
      </c>
      <c r="D15" s="16">
        <v>1</v>
      </c>
      <c r="E15" s="37">
        <f>$E$4</f>
        <v>40000000</v>
      </c>
      <c r="F15" s="38">
        <v>1</v>
      </c>
      <c r="G15" s="39">
        <f t="shared" si="0"/>
        <v>16000000</v>
      </c>
    </row>
    <row r="16" ht="256.5" spans="1:7">
      <c r="A16" s="14" t="s">
        <v>117</v>
      </c>
      <c r="B16" s="15" t="s">
        <v>262</v>
      </c>
      <c r="C16" s="16"/>
      <c r="D16" s="16"/>
      <c r="E16" s="31"/>
      <c r="F16" s="32">
        <f>SUM(F17,F19)</f>
        <v>2</v>
      </c>
      <c r="G16" s="33">
        <f>SUM(G17,G19)</f>
        <v>56000000</v>
      </c>
    </row>
    <row r="17" ht="57" spans="1:7">
      <c r="A17" s="14" t="s">
        <v>119</v>
      </c>
      <c r="B17" s="15" t="s">
        <v>111</v>
      </c>
      <c r="C17" s="14"/>
      <c r="D17" s="14"/>
      <c r="E17" s="34"/>
      <c r="F17" s="35">
        <v>0.5</v>
      </c>
      <c r="G17" s="36">
        <f>G18</f>
        <v>32000000</v>
      </c>
    </row>
    <row r="18" ht="42.75" spans="1:7">
      <c r="A18" s="16"/>
      <c r="B18" s="10" t="str">
        <f>B12</f>
        <v>PGS.TS. Hà Thị Hằng</v>
      </c>
      <c r="C18" s="16">
        <v>0.8</v>
      </c>
      <c r="D18" s="16">
        <v>1</v>
      </c>
      <c r="E18" s="37">
        <f>$E$4</f>
        <v>40000000</v>
      </c>
      <c r="F18" s="38">
        <v>1</v>
      </c>
      <c r="G18" s="39">
        <f t="shared" ref="G18:G21" si="1">C18*E18*F18</f>
        <v>32000000</v>
      </c>
    </row>
    <row r="19" ht="57" spans="1:7">
      <c r="A19" s="14" t="s">
        <v>120</v>
      </c>
      <c r="B19" s="15" t="s">
        <v>114</v>
      </c>
      <c r="C19" s="14"/>
      <c r="D19" s="14"/>
      <c r="E19" s="34"/>
      <c r="F19" s="35">
        <f>SUM(F20:F21)</f>
        <v>1.5</v>
      </c>
      <c r="G19" s="36">
        <f>SUM(G20:G21)</f>
        <v>24000000</v>
      </c>
    </row>
    <row r="20" ht="42.75" spans="1:7">
      <c r="A20" s="16"/>
      <c r="B20" s="10" t="s">
        <v>121</v>
      </c>
      <c r="C20" s="16">
        <v>0.4</v>
      </c>
      <c r="D20" s="16">
        <v>1</v>
      </c>
      <c r="E20" s="37">
        <f>$E$4</f>
        <v>40000000</v>
      </c>
      <c r="F20" s="38">
        <v>0.5</v>
      </c>
      <c r="G20" s="39">
        <f t="shared" si="1"/>
        <v>8000000</v>
      </c>
    </row>
    <row r="21" ht="57" spans="1:7">
      <c r="A21" s="16"/>
      <c r="B21" s="10" t="s">
        <v>122</v>
      </c>
      <c r="C21" s="16">
        <v>0.4</v>
      </c>
      <c r="D21" s="16">
        <v>1</v>
      </c>
      <c r="E21" s="37">
        <f>$E$4</f>
        <v>40000000</v>
      </c>
      <c r="F21" s="38">
        <v>1</v>
      </c>
      <c r="G21" s="39">
        <f t="shared" si="1"/>
        <v>16000000</v>
      </c>
    </row>
    <row r="22" ht="409.5" spans="1:7">
      <c r="A22" s="11">
        <v>2</v>
      </c>
      <c r="B22" s="12" t="s">
        <v>263</v>
      </c>
      <c r="C22" s="13"/>
      <c r="D22" s="13"/>
      <c r="E22" s="28"/>
      <c r="F22" s="29"/>
      <c r="G22" s="30">
        <f>G23+G31+G40</f>
        <v>104000000</v>
      </c>
    </row>
    <row r="23" ht="299.25" spans="1:7">
      <c r="A23" s="14" t="s">
        <v>124</v>
      </c>
      <c r="B23" s="15" t="s">
        <v>264</v>
      </c>
      <c r="C23" s="16"/>
      <c r="D23" s="16"/>
      <c r="E23" s="31"/>
      <c r="F23" s="40">
        <f>SUM(F24,F26,F29)</f>
        <v>2</v>
      </c>
      <c r="G23" s="36">
        <f>SUM(G24,G26,G29)</f>
        <v>36000000</v>
      </c>
    </row>
    <row r="24" ht="57" spans="1:7">
      <c r="A24" s="14" t="s">
        <v>126</v>
      </c>
      <c r="B24" s="15" t="s">
        <v>111</v>
      </c>
      <c r="C24" s="14"/>
      <c r="D24" s="14"/>
      <c r="E24" s="34"/>
      <c r="F24" s="35">
        <f>F25</f>
        <v>0.5</v>
      </c>
      <c r="G24" s="36">
        <f>G25</f>
        <v>16000000</v>
      </c>
    </row>
    <row r="25" ht="57" spans="1:7">
      <c r="A25" s="16"/>
      <c r="B25" s="10" t="s">
        <v>122</v>
      </c>
      <c r="C25" s="16">
        <v>0.8</v>
      </c>
      <c r="D25" s="16">
        <v>1</v>
      </c>
      <c r="E25" s="37">
        <f>$E$4</f>
        <v>40000000</v>
      </c>
      <c r="F25" s="38">
        <v>0.5</v>
      </c>
      <c r="G25" s="39">
        <f t="shared" ref="G25:G28" si="2">C25*E25*F25</f>
        <v>16000000</v>
      </c>
    </row>
    <row r="26" ht="57" spans="1:7">
      <c r="A26" s="14" t="s">
        <v>127</v>
      </c>
      <c r="B26" s="15" t="s">
        <v>114</v>
      </c>
      <c r="C26" s="14"/>
      <c r="D26" s="14"/>
      <c r="E26" s="34"/>
      <c r="F26" s="35">
        <f>SUM(F27:F28)</f>
        <v>1</v>
      </c>
      <c r="G26" s="36">
        <f>SUM(G27:G28)</f>
        <v>16000000</v>
      </c>
    </row>
    <row r="27" ht="57" spans="1:7">
      <c r="A27" s="16"/>
      <c r="B27" s="10" t="s">
        <v>128</v>
      </c>
      <c r="C27" s="16">
        <v>0.4</v>
      </c>
      <c r="D27" s="16">
        <v>1</v>
      </c>
      <c r="E27" s="37">
        <f>$E$4</f>
        <v>40000000</v>
      </c>
      <c r="F27" s="38">
        <v>0.5</v>
      </c>
      <c r="G27" s="39">
        <f t="shared" si="2"/>
        <v>8000000</v>
      </c>
    </row>
    <row r="28" ht="42.75" spans="1:7">
      <c r="A28" s="16"/>
      <c r="B28" s="10" t="s">
        <v>129</v>
      </c>
      <c r="C28" s="16">
        <v>0.4</v>
      </c>
      <c r="D28" s="16">
        <v>1</v>
      </c>
      <c r="E28" s="37">
        <f>$E$4</f>
        <v>40000000</v>
      </c>
      <c r="F28" s="38">
        <v>0.5</v>
      </c>
      <c r="G28" s="39">
        <f t="shared" si="2"/>
        <v>8000000</v>
      </c>
    </row>
    <row r="29" ht="85.5" spans="1:7">
      <c r="A29" s="14" t="s">
        <v>130</v>
      </c>
      <c r="B29" s="15" t="s">
        <v>131</v>
      </c>
      <c r="C29" s="14"/>
      <c r="D29" s="14"/>
      <c r="E29" s="34"/>
      <c r="F29" s="35">
        <f>SUM(F30:F30)</f>
        <v>0.5</v>
      </c>
      <c r="G29" s="36">
        <f>SUM(G30:G30)</f>
        <v>4000000</v>
      </c>
    </row>
    <row r="30" ht="42.75" spans="1:7">
      <c r="A30" s="16"/>
      <c r="B30" s="10" t="s">
        <v>121</v>
      </c>
      <c r="C30" s="16">
        <v>0.2</v>
      </c>
      <c r="D30" s="16">
        <v>1</v>
      </c>
      <c r="E30" s="37">
        <f>$E$4</f>
        <v>40000000</v>
      </c>
      <c r="F30" s="38">
        <v>0.5</v>
      </c>
      <c r="G30" s="39">
        <f t="shared" ref="G30:G36" si="3">C30*E30*F30</f>
        <v>4000000</v>
      </c>
    </row>
    <row r="31" ht="185.25" spans="1:7">
      <c r="A31" s="14" t="s">
        <v>132</v>
      </c>
      <c r="B31" s="15" t="s">
        <v>265</v>
      </c>
      <c r="C31" s="16"/>
      <c r="D31" s="16"/>
      <c r="E31" s="31"/>
      <c r="F31" s="40">
        <f>SUM(F32,F34,F37)</f>
        <v>2.5</v>
      </c>
      <c r="G31" s="36">
        <f>SUM(G32,G34,G37)</f>
        <v>40000000</v>
      </c>
    </row>
    <row r="32" ht="57" spans="1:7">
      <c r="A32" s="14" t="s">
        <v>134</v>
      </c>
      <c r="B32" s="15" t="s">
        <v>111</v>
      </c>
      <c r="C32" s="14"/>
      <c r="D32" s="14"/>
      <c r="E32" s="34"/>
      <c r="F32" s="35">
        <f>F33</f>
        <v>0.5</v>
      </c>
      <c r="G32" s="36">
        <f>G33</f>
        <v>16000000</v>
      </c>
    </row>
    <row r="33" ht="57" spans="1:7">
      <c r="A33" s="16"/>
      <c r="B33" s="10" t="str">
        <f>B25</f>
        <v>TS. Nguyễn Phương Lâm</v>
      </c>
      <c r="C33" s="16">
        <v>0.8</v>
      </c>
      <c r="D33" s="16">
        <v>1</v>
      </c>
      <c r="E33" s="37">
        <f>$E$4</f>
        <v>40000000</v>
      </c>
      <c r="F33" s="38">
        <v>0.5</v>
      </c>
      <c r="G33" s="39">
        <f t="shared" si="3"/>
        <v>16000000</v>
      </c>
    </row>
    <row r="34" ht="57" spans="1:7">
      <c r="A34" s="14" t="s">
        <v>135</v>
      </c>
      <c r="B34" s="15" t="s">
        <v>114</v>
      </c>
      <c r="C34" s="14"/>
      <c r="D34" s="14"/>
      <c r="E34" s="34"/>
      <c r="F34" s="35">
        <f>SUM(F35:F36)</f>
        <v>1</v>
      </c>
      <c r="G34" s="36">
        <f>SUM(G35:G36)</f>
        <v>16000000</v>
      </c>
    </row>
    <row r="35" ht="42.75" spans="1:7">
      <c r="A35" s="16"/>
      <c r="B35" s="10" t="s">
        <v>129</v>
      </c>
      <c r="C35" s="16">
        <v>0.4</v>
      </c>
      <c r="D35" s="16">
        <v>1</v>
      </c>
      <c r="E35" s="37">
        <f>$E$4</f>
        <v>40000000</v>
      </c>
      <c r="F35" s="38">
        <v>0.5</v>
      </c>
      <c r="G35" s="39">
        <f t="shared" si="3"/>
        <v>8000000</v>
      </c>
    </row>
    <row r="36" ht="57" spans="1:7">
      <c r="A36" s="16"/>
      <c r="B36" s="10" t="s">
        <v>115</v>
      </c>
      <c r="C36" s="16">
        <v>0.4</v>
      </c>
      <c r="D36" s="16">
        <v>1</v>
      </c>
      <c r="E36" s="37">
        <f>$E$4</f>
        <v>40000000</v>
      </c>
      <c r="F36" s="38">
        <v>0.5</v>
      </c>
      <c r="G36" s="39">
        <f t="shared" si="3"/>
        <v>8000000</v>
      </c>
    </row>
    <row r="37" ht="85.5" spans="1:7">
      <c r="A37" s="14" t="s">
        <v>136</v>
      </c>
      <c r="B37" s="15" t="s">
        <v>131</v>
      </c>
      <c r="C37" s="14"/>
      <c r="D37" s="14"/>
      <c r="E37" s="34"/>
      <c r="F37" s="35">
        <f>SUM(F38:F39)</f>
        <v>1</v>
      </c>
      <c r="G37" s="36">
        <f>SUM(G38:G39)</f>
        <v>8000000</v>
      </c>
    </row>
    <row r="38" ht="42.75" spans="1:7">
      <c r="A38" s="16"/>
      <c r="B38" s="10" t="s">
        <v>121</v>
      </c>
      <c r="C38" s="16">
        <v>0.2</v>
      </c>
      <c r="D38" s="16">
        <v>1</v>
      </c>
      <c r="E38" s="37">
        <f>$E$4</f>
        <v>40000000</v>
      </c>
      <c r="F38" s="38">
        <v>0.5</v>
      </c>
      <c r="G38" s="39">
        <f t="shared" ref="G38:G42" si="4">C38*E38*F38</f>
        <v>4000000</v>
      </c>
    </row>
    <row r="39" ht="42.75" spans="1:7">
      <c r="A39" s="16"/>
      <c r="B39" s="10" t="s">
        <v>116</v>
      </c>
      <c r="C39" s="16">
        <v>0.2</v>
      </c>
      <c r="D39" s="16">
        <v>1</v>
      </c>
      <c r="E39" s="37">
        <f>$E$4</f>
        <v>40000000</v>
      </c>
      <c r="F39" s="38">
        <v>0.5</v>
      </c>
      <c r="G39" s="39">
        <f t="shared" si="4"/>
        <v>4000000</v>
      </c>
    </row>
    <row r="40" ht="285" spans="1:7">
      <c r="A40" s="14">
        <v>2.3</v>
      </c>
      <c r="B40" s="15" t="s">
        <v>266</v>
      </c>
      <c r="C40" s="16"/>
      <c r="D40" s="16"/>
      <c r="E40" s="31"/>
      <c r="F40" s="40">
        <f>SUM(F41,F43,F45)</f>
        <v>1.5</v>
      </c>
      <c r="G40" s="36">
        <f>SUM(G41,G43,G45)</f>
        <v>28000000</v>
      </c>
    </row>
    <row r="41" ht="57" spans="1:7">
      <c r="A41" s="14" t="s">
        <v>138</v>
      </c>
      <c r="B41" s="15" t="s">
        <v>111</v>
      </c>
      <c r="C41" s="14"/>
      <c r="D41" s="14"/>
      <c r="E41" s="34"/>
      <c r="F41" s="35">
        <f>F42</f>
        <v>0.5</v>
      </c>
      <c r="G41" s="36">
        <f>G42</f>
        <v>16000000</v>
      </c>
    </row>
    <row r="42" ht="57" spans="1:7">
      <c r="A42" s="16"/>
      <c r="B42" s="10" t="str">
        <f>B33</f>
        <v>TS. Nguyễn Phương Lâm</v>
      </c>
      <c r="C42" s="16">
        <v>0.8</v>
      </c>
      <c r="D42" s="16">
        <v>1</v>
      </c>
      <c r="E42" s="37">
        <f>$E$4</f>
        <v>40000000</v>
      </c>
      <c r="F42" s="38">
        <v>0.5</v>
      </c>
      <c r="G42" s="39">
        <f t="shared" si="4"/>
        <v>16000000</v>
      </c>
    </row>
    <row r="43" ht="57" spans="1:7">
      <c r="A43" s="14" t="s">
        <v>139</v>
      </c>
      <c r="B43" s="15" t="s">
        <v>114</v>
      </c>
      <c r="C43" s="14"/>
      <c r="D43" s="14"/>
      <c r="E43" s="34"/>
      <c r="F43" s="35">
        <f>SUM(F44:F44)</f>
        <v>0.5</v>
      </c>
      <c r="G43" s="36">
        <f>SUM(G44:G44)</f>
        <v>8000000</v>
      </c>
    </row>
    <row r="44" ht="57" spans="1:7">
      <c r="A44" s="16"/>
      <c r="B44" s="10" t="s">
        <v>115</v>
      </c>
      <c r="C44" s="16">
        <v>0.4</v>
      </c>
      <c r="D44" s="16">
        <v>1</v>
      </c>
      <c r="E44" s="37">
        <f>$E$4</f>
        <v>40000000</v>
      </c>
      <c r="F44" s="38">
        <v>0.5</v>
      </c>
      <c r="G44" s="39">
        <f>C44*E44*F44</f>
        <v>8000000</v>
      </c>
    </row>
    <row r="45" ht="85.5" spans="1:7">
      <c r="A45" s="14" t="s">
        <v>140</v>
      </c>
      <c r="B45" s="15" t="s">
        <v>131</v>
      </c>
      <c r="C45" s="14"/>
      <c r="D45" s="14"/>
      <c r="E45" s="34"/>
      <c r="F45" s="35">
        <f>SUM(F46:F46)</f>
        <v>0.5</v>
      </c>
      <c r="G45" s="36">
        <f>SUM(G46:G46)</f>
        <v>4000000</v>
      </c>
    </row>
    <row r="46" ht="42.75" spans="1:7">
      <c r="A46" s="16"/>
      <c r="B46" s="10" t="s">
        <v>121</v>
      </c>
      <c r="C46" s="16">
        <v>0.2</v>
      </c>
      <c r="D46" s="16">
        <v>1</v>
      </c>
      <c r="E46" s="37">
        <f>$E$4</f>
        <v>40000000</v>
      </c>
      <c r="F46" s="38">
        <v>0.5</v>
      </c>
      <c r="G46" s="39">
        <f>C46*E46*F46</f>
        <v>4000000</v>
      </c>
    </row>
    <row r="47" ht="270.75" spans="1:7">
      <c r="A47" s="11">
        <v>3</v>
      </c>
      <c r="B47" s="12" t="s">
        <v>267</v>
      </c>
      <c r="C47" s="13"/>
      <c r="D47" s="13"/>
      <c r="E47" s="28"/>
      <c r="F47" s="29"/>
      <c r="G47" s="30">
        <f>G48+G53+G60+G65+G70</f>
        <v>136000000</v>
      </c>
    </row>
    <row r="48" ht="256.5" spans="1:7">
      <c r="A48" s="14">
        <v>3.1</v>
      </c>
      <c r="B48" s="15" t="s">
        <v>268</v>
      </c>
      <c r="C48" s="16"/>
      <c r="D48" s="16"/>
      <c r="E48" s="31"/>
      <c r="F48" s="40">
        <f>SUM(F49,F51)</f>
        <v>1.5</v>
      </c>
      <c r="G48" s="36">
        <f>SUM(G49,G51)</f>
        <v>32000000</v>
      </c>
    </row>
    <row r="49" ht="57" spans="1:7">
      <c r="A49" s="14" t="s">
        <v>143</v>
      </c>
      <c r="B49" s="15" t="s">
        <v>111</v>
      </c>
      <c r="C49" s="14"/>
      <c r="D49" s="14"/>
      <c r="E49" s="34"/>
      <c r="F49" s="35">
        <f>F50</f>
        <v>0.5</v>
      </c>
      <c r="G49" s="36">
        <f>G50</f>
        <v>16000000</v>
      </c>
    </row>
    <row r="50" ht="57" spans="1:7">
      <c r="A50" s="16"/>
      <c r="B50" s="10" t="s">
        <v>115</v>
      </c>
      <c r="C50" s="16">
        <v>0.8</v>
      </c>
      <c r="D50" s="16">
        <v>1</v>
      </c>
      <c r="E50" s="37">
        <f>$E$4</f>
        <v>40000000</v>
      </c>
      <c r="F50" s="38">
        <v>0.5</v>
      </c>
      <c r="G50" s="39">
        <f t="shared" ref="G50:G55" si="5">C50*E50*F50</f>
        <v>16000000</v>
      </c>
    </row>
    <row r="51" ht="57" spans="1:7">
      <c r="A51" s="14" t="s">
        <v>144</v>
      </c>
      <c r="B51" s="15" t="s">
        <v>114</v>
      </c>
      <c r="C51" s="14"/>
      <c r="D51" s="14"/>
      <c r="E51" s="34"/>
      <c r="F51" s="35">
        <f>SUM(F52:F52)</f>
        <v>1</v>
      </c>
      <c r="G51" s="36">
        <f>SUM(G52:G52)</f>
        <v>16000000</v>
      </c>
    </row>
    <row r="52" ht="42.75" spans="1:7">
      <c r="A52" s="16"/>
      <c r="B52" s="10" t="s">
        <v>129</v>
      </c>
      <c r="C52" s="16">
        <v>0.4</v>
      </c>
      <c r="D52" s="16">
        <v>1</v>
      </c>
      <c r="E52" s="37">
        <f>$E$4</f>
        <v>40000000</v>
      </c>
      <c r="F52" s="38">
        <v>1</v>
      </c>
      <c r="G52" s="39">
        <f t="shared" si="5"/>
        <v>16000000</v>
      </c>
    </row>
    <row r="53" ht="256.5" spans="1:7">
      <c r="A53" s="14">
        <v>3.2</v>
      </c>
      <c r="B53" s="15" t="s">
        <v>269</v>
      </c>
      <c r="C53" s="16"/>
      <c r="D53" s="16"/>
      <c r="E53" s="31"/>
      <c r="F53" s="40">
        <f>SUM(F54,F56,F58)</f>
        <v>1.5</v>
      </c>
      <c r="G53" s="36">
        <f>SUM(G54,G56,G58)</f>
        <v>28000000</v>
      </c>
    </row>
    <row r="54" ht="57" spans="1:7">
      <c r="A54" s="14" t="s">
        <v>146</v>
      </c>
      <c r="B54" s="15" t="s">
        <v>111</v>
      </c>
      <c r="C54" s="14"/>
      <c r="D54" s="14"/>
      <c r="E54" s="34"/>
      <c r="F54" s="35">
        <f>F55</f>
        <v>0.5</v>
      </c>
      <c r="G54" s="36">
        <f>G55</f>
        <v>16000000</v>
      </c>
    </row>
    <row r="55" ht="57" spans="1:7">
      <c r="A55" s="16"/>
      <c r="B55" s="10" t="s">
        <v>115</v>
      </c>
      <c r="C55" s="16">
        <v>0.8</v>
      </c>
      <c r="D55" s="16">
        <v>1</v>
      </c>
      <c r="E55" s="37">
        <f>$E$4</f>
        <v>40000000</v>
      </c>
      <c r="F55" s="38">
        <v>0.5</v>
      </c>
      <c r="G55" s="39">
        <f t="shared" si="5"/>
        <v>16000000</v>
      </c>
    </row>
    <row r="56" ht="57" spans="1:7">
      <c r="A56" s="14" t="s">
        <v>147</v>
      </c>
      <c r="B56" s="15" t="s">
        <v>114</v>
      </c>
      <c r="C56" s="14"/>
      <c r="D56" s="14"/>
      <c r="E56" s="34"/>
      <c r="F56" s="35">
        <f>SUM(F57:F57)</f>
        <v>0.5</v>
      </c>
      <c r="G56" s="36">
        <f>SUM(G57:G57)</f>
        <v>8000000</v>
      </c>
    </row>
    <row r="57" ht="42.75" spans="1:7">
      <c r="A57" s="16"/>
      <c r="B57" s="10" t="s">
        <v>121</v>
      </c>
      <c r="C57" s="16">
        <v>0.4</v>
      </c>
      <c r="D57" s="16">
        <v>1</v>
      </c>
      <c r="E57" s="37">
        <f>$E$4</f>
        <v>40000000</v>
      </c>
      <c r="F57" s="38">
        <v>0.5</v>
      </c>
      <c r="G57" s="39">
        <f t="shared" ref="G57:G62" si="6">C57*E57*F57</f>
        <v>8000000</v>
      </c>
    </row>
    <row r="58" ht="85.5" spans="1:7">
      <c r="A58" s="14" t="s">
        <v>148</v>
      </c>
      <c r="B58" s="15" t="s">
        <v>131</v>
      </c>
      <c r="C58" s="14"/>
      <c r="D58" s="14"/>
      <c r="E58" s="34"/>
      <c r="F58" s="35">
        <f>SUM(F59:F59)</f>
        <v>0.5</v>
      </c>
      <c r="G58" s="36">
        <f>SUM(G59:G59)</f>
        <v>4000000</v>
      </c>
    </row>
    <row r="59" ht="42.75" spans="1:7">
      <c r="A59" s="16"/>
      <c r="B59" s="10" t="s">
        <v>116</v>
      </c>
      <c r="C59" s="16">
        <v>0.2</v>
      </c>
      <c r="D59" s="16">
        <v>1</v>
      </c>
      <c r="E59" s="37">
        <f>$E$4</f>
        <v>40000000</v>
      </c>
      <c r="F59" s="38">
        <v>0.5</v>
      </c>
      <c r="G59" s="39">
        <f t="shared" si="6"/>
        <v>4000000</v>
      </c>
    </row>
    <row r="60" ht="228" spans="1:7">
      <c r="A60" s="14">
        <v>3.3</v>
      </c>
      <c r="B60" s="15" t="s">
        <v>270</v>
      </c>
      <c r="C60" s="16"/>
      <c r="D60" s="16"/>
      <c r="E60" s="31"/>
      <c r="F60" s="40">
        <f>SUM(F61,F63)</f>
        <v>1</v>
      </c>
      <c r="G60" s="36">
        <f>SUM(G61,G63)</f>
        <v>24000000</v>
      </c>
    </row>
    <row r="61" ht="57" spans="1:7">
      <c r="A61" s="14" t="s">
        <v>150</v>
      </c>
      <c r="B61" s="15" t="s">
        <v>111</v>
      </c>
      <c r="C61" s="14"/>
      <c r="D61" s="14"/>
      <c r="E61" s="34"/>
      <c r="F61" s="35">
        <f>F62</f>
        <v>0.5</v>
      </c>
      <c r="G61" s="36">
        <f>G62</f>
        <v>16000000</v>
      </c>
    </row>
    <row r="62" ht="57" spans="1:7">
      <c r="A62" s="16"/>
      <c r="B62" s="10" t="s">
        <v>115</v>
      </c>
      <c r="C62" s="16">
        <v>0.8</v>
      </c>
      <c r="D62" s="16">
        <v>1</v>
      </c>
      <c r="E62" s="37">
        <f>$E$4</f>
        <v>40000000</v>
      </c>
      <c r="F62" s="38">
        <v>0.5</v>
      </c>
      <c r="G62" s="39">
        <f t="shared" si="6"/>
        <v>16000000</v>
      </c>
    </row>
    <row r="63" ht="57" spans="1:7">
      <c r="A63" s="14" t="s">
        <v>151</v>
      </c>
      <c r="B63" s="15" t="s">
        <v>114</v>
      </c>
      <c r="C63" s="14"/>
      <c r="D63" s="14"/>
      <c r="E63" s="34"/>
      <c r="F63" s="35">
        <f>SUM(F64:F64)</f>
        <v>0.5</v>
      </c>
      <c r="G63" s="36">
        <f>SUM(G64:G64)</f>
        <v>8000000</v>
      </c>
    </row>
    <row r="64" ht="57" spans="1:7">
      <c r="A64" s="16"/>
      <c r="B64" s="10" t="s">
        <v>122</v>
      </c>
      <c r="C64" s="16">
        <v>0.4</v>
      </c>
      <c r="D64" s="16">
        <v>1</v>
      </c>
      <c r="E64" s="37">
        <f>$E$4</f>
        <v>40000000</v>
      </c>
      <c r="F64" s="38">
        <v>0.5</v>
      </c>
      <c r="G64" s="39">
        <f t="shared" ref="G64:G69" si="7">C64*E64*F64</f>
        <v>8000000</v>
      </c>
    </row>
    <row r="65" ht="228" spans="1:7">
      <c r="A65" s="14">
        <v>3.4</v>
      </c>
      <c r="B65" s="15" t="s">
        <v>271</v>
      </c>
      <c r="C65" s="16"/>
      <c r="D65" s="16"/>
      <c r="E65" s="31"/>
      <c r="F65" s="40">
        <f>SUM(F66,F68)</f>
        <v>1</v>
      </c>
      <c r="G65" s="36">
        <f>SUM(G66,G68)</f>
        <v>24000000</v>
      </c>
    </row>
    <row r="66" ht="57" spans="1:7">
      <c r="A66" s="14" t="s">
        <v>153</v>
      </c>
      <c r="B66" s="15" t="s">
        <v>111</v>
      </c>
      <c r="C66" s="14"/>
      <c r="D66" s="14"/>
      <c r="E66" s="34"/>
      <c r="F66" s="35">
        <f>F67</f>
        <v>0.5</v>
      </c>
      <c r="G66" s="36">
        <f>G67</f>
        <v>16000000</v>
      </c>
    </row>
    <row r="67" ht="57" spans="1:7">
      <c r="A67" s="16"/>
      <c r="B67" s="10" t="s">
        <v>115</v>
      </c>
      <c r="C67" s="16">
        <v>0.8</v>
      </c>
      <c r="D67" s="16">
        <v>1</v>
      </c>
      <c r="E67" s="37">
        <f>$E$4</f>
        <v>40000000</v>
      </c>
      <c r="F67" s="38">
        <v>0.5</v>
      </c>
      <c r="G67" s="39">
        <f t="shared" si="7"/>
        <v>16000000</v>
      </c>
    </row>
    <row r="68" ht="57" spans="1:7">
      <c r="A68" s="14" t="s">
        <v>154</v>
      </c>
      <c r="B68" s="15" t="s">
        <v>114</v>
      </c>
      <c r="C68" s="14"/>
      <c r="D68" s="14"/>
      <c r="E68" s="34"/>
      <c r="F68" s="35">
        <f>SUM(F69:F69)</f>
        <v>0.5</v>
      </c>
      <c r="G68" s="36">
        <f>SUM(G69:G69)</f>
        <v>8000000</v>
      </c>
    </row>
    <row r="69" ht="42.75" spans="1:7">
      <c r="A69" s="16"/>
      <c r="B69" s="10" t="s">
        <v>121</v>
      </c>
      <c r="C69" s="16">
        <v>0.4</v>
      </c>
      <c r="D69" s="16">
        <v>1</v>
      </c>
      <c r="E69" s="37">
        <f>$E$4</f>
        <v>40000000</v>
      </c>
      <c r="F69" s="38">
        <v>0.5</v>
      </c>
      <c r="G69" s="39">
        <f t="shared" si="7"/>
        <v>8000000</v>
      </c>
    </row>
    <row r="70" ht="228" spans="1:7">
      <c r="A70" s="14">
        <v>3.5</v>
      </c>
      <c r="B70" s="15" t="s">
        <v>272</v>
      </c>
      <c r="C70" s="16"/>
      <c r="D70" s="16"/>
      <c r="E70" s="31"/>
      <c r="F70" s="40">
        <f>SUM(F71,F73,F75)</f>
        <v>1.5</v>
      </c>
      <c r="G70" s="36">
        <f>SUM(G71,G73,G75)</f>
        <v>28000000</v>
      </c>
    </row>
    <row r="71" ht="57" spans="1:7">
      <c r="A71" s="14" t="s">
        <v>156</v>
      </c>
      <c r="B71" s="15" t="s">
        <v>111</v>
      </c>
      <c r="C71" s="14"/>
      <c r="D71" s="14"/>
      <c r="E71" s="34"/>
      <c r="F71" s="35">
        <f>F72</f>
        <v>0.5</v>
      </c>
      <c r="G71" s="36">
        <f>G72</f>
        <v>16000000</v>
      </c>
    </row>
    <row r="72" ht="57" spans="1:7">
      <c r="A72" s="16"/>
      <c r="B72" s="10" t="s">
        <v>115</v>
      </c>
      <c r="C72" s="16">
        <v>0.8</v>
      </c>
      <c r="D72" s="16">
        <v>1</v>
      </c>
      <c r="E72" s="37">
        <f>$E$4</f>
        <v>40000000</v>
      </c>
      <c r="F72" s="38">
        <v>0.5</v>
      </c>
      <c r="G72" s="39">
        <f t="shared" ref="G72:G76" si="8">C72*E72*F72</f>
        <v>16000000</v>
      </c>
    </row>
    <row r="73" ht="57" spans="1:7">
      <c r="A73" s="14" t="s">
        <v>157</v>
      </c>
      <c r="B73" s="15" t="s">
        <v>114</v>
      </c>
      <c r="C73" s="14"/>
      <c r="D73" s="14"/>
      <c r="E73" s="34"/>
      <c r="F73" s="35">
        <f>SUM(F74:F74)</f>
        <v>0.5</v>
      </c>
      <c r="G73" s="36">
        <f>SUM(G74:G74)</f>
        <v>8000000</v>
      </c>
    </row>
    <row r="74" ht="42.75" spans="1:7">
      <c r="A74" s="16"/>
      <c r="B74" s="10" t="s">
        <v>129</v>
      </c>
      <c r="C74" s="16">
        <v>0.4</v>
      </c>
      <c r="D74" s="16">
        <v>1</v>
      </c>
      <c r="E74" s="37">
        <f>$E$4</f>
        <v>40000000</v>
      </c>
      <c r="F74" s="38">
        <v>0.5</v>
      </c>
      <c r="G74" s="39">
        <f t="shared" si="8"/>
        <v>8000000</v>
      </c>
    </row>
    <row r="75" ht="85.5" spans="1:7">
      <c r="A75" s="14" t="s">
        <v>158</v>
      </c>
      <c r="B75" s="15" t="s">
        <v>131</v>
      </c>
      <c r="C75" s="14"/>
      <c r="D75" s="14"/>
      <c r="E75" s="34"/>
      <c r="F75" s="35">
        <f>SUM(F76:F76)</f>
        <v>0.5</v>
      </c>
      <c r="G75" s="36">
        <f>SUM(G76:G76)</f>
        <v>4000000</v>
      </c>
    </row>
    <row r="76" ht="42.75" spans="1:7">
      <c r="A76" s="16"/>
      <c r="B76" s="10" t="s">
        <v>121</v>
      </c>
      <c r="C76" s="16">
        <v>0.2</v>
      </c>
      <c r="D76" s="16">
        <v>1</v>
      </c>
      <c r="E76" s="37">
        <f>$E$4</f>
        <v>40000000</v>
      </c>
      <c r="F76" s="38">
        <v>0.5</v>
      </c>
      <c r="G76" s="39">
        <f t="shared" si="8"/>
        <v>4000000</v>
      </c>
    </row>
    <row r="77" ht="256.5" spans="1:7">
      <c r="A77" s="11">
        <v>4</v>
      </c>
      <c r="B77" s="12" t="s">
        <v>273</v>
      </c>
      <c r="C77" s="13"/>
      <c r="D77" s="13"/>
      <c r="E77" s="28"/>
      <c r="F77" s="29"/>
      <c r="G77" s="30">
        <f>G78+G83+G88</f>
        <v>72000000</v>
      </c>
    </row>
    <row r="78" ht="242.25" spans="1:7">
      <c r="A78" s="14">
        <v>4.1</v>
      </c>
      <c r="B78" s="15" t="s">
        <v>274</v>
      </c>
      <c r="C78" s="16"/>
      <c r="D78" s="16"/>
      <c r="E78" s="31"/>
      <c r="F78" s="40">
        <f>SUM(F79,F81)</f>
        <v>1</v>
      </c>
      <c r="G78" s="36">
        <f>SUM(G79,G81)</f>
        <v>24000000</v>
      </c>
    </row>
    <row r="79" ht="57" spans="1:7">
      <c r="A79" s="14" t="s">
        <v>161</v>
      </c>
      <c r="B79" s="15" t="s">
        <v>111</v>
      </c>
      <c r="C79" s="14"/>
      <c r="D79" s="14"/>
      <c r="E79" s="34"/>
      <c r="F79" s="35">
        <f>F80</f>
        <v>0.5</v>
      </c>
      <c r="G79" s="36">
        <f>G80</f>
        <v>16000000</v>
      </c>
    </row>
    <row r="80" ht="42.75" spans="1:7">
      <c r="A80" s="16"/>
      <c r="B80" s="10" t="s">
        <v>162</v>
      </c>
      <c r="C80" s="16">
        <v>0.8</v>
      </c>
      <c r="D80" s="16">
        <v>1</v>
      </c>
      <c r="E80" s="37">
        <f>$E$4</f>
        <v>40000000</v>
      </c>
      <c r="F80" s="38">
        <v>0.5</v>
      </c>
      <c r="G80" s="39">
        <f t="shared" ref="G80:G85" si="9">C80*E80*F80</f>
        <v>16000000</v>
      </c>
    </row>
    <row r="81" ht="57" spans="1:7">
      <c r="A81" s="14" t="s">
        <v>163</v>
      </c>
      <c r="B81" s="15" t="s">
        <v>114</v>
      </c>
      <c r="C81" s="14"/>
      <c r="D81" s="14"/>
      <c r="E81" s="34"/>
      <c r="F81" s="35">
        <f>SUM(F82:F82)</f>
        <v>0.5</v>
      </c>
      <c r="G81" s="36">
        <f>SUM(G82:G82)</f>
        <v>8000000</v>
      </c>
    </row>
    <row r="82" ht="57" spans="1:7">
      <c r="A82" s="16"/>
      <c r="B82" s="10" t="s">
        <v>122</v>
      </c>
      <c r="C82" s="16">
        <v>0.4</v>
      </c>
      <c r="D82" s="16">
        <v>1</v>
      </c>
      <c r="E82" s="37">
        <f>$E$4</f>
        <v>40000000</v>
      </c>
      <c r="F82" s="38">
        <v>0.5</v>
      </c>
      <c r="G82" s="39">
        <f t="shared" si="9"/>
        <v>8000000</v>
      </c>
    </row>
    <row r="83" ht="270.75" spans="1:7">
      <c r="A83" s="14">
        <v>4.2</v>
      </c>
      <c r="B83" s="15" t="s">
        <v>275</v>
      </c>
      <c r="C83" s="16"/>
      <c r="D83" s="16"/>
      <c r="E83" s="31"/>
      <c r="F83" s="40">
        <f>SUM(F84,F86)</f>
        <v>1</v>
      </c>
      <c r="G83" s="36">
        <f>SUM(G84,G86)</f>
        <v>24000000</v>
      </c>
    </row>
    <row r="84" ht="57" spans="1:7">
      <c r="A84" s="14" t="s">
        <v>165</v>
      </c>
      <c r="B84" s="15" t="s">
        <v>111</v>
      </c>
      <c r="C84" s="14"/>
      <c r="D84" s="14"/>
      <c r="E84" s="34"/>
      <c r="F84" s="35">
        <f>F85</f>
        <v>0.5</v>
      </c>
      <c r="G84" s="36">
        <f>G85</f>
        <v>16000000</v>
      </c>
    </row>
    <row r="85" ht="42.75" spans="1:7">
      <c r="A85" s="16"/>
      <c r="B85" s="10" t="str">
        <f>B80</f>
        <v>PGS. TS. Hà Thị Hằng</v>
      </c>
      <c r="C85" s="16">
        <v>0.8</v>
      </c>
      <c r="D85" s="16">
        <v>1</v>
      </c>
      <c r="E85" s="37">
        <f>$E$4</f>
        <v>40000000</v>
      </c>
      <c r="F85" s="38">
        <v>0.5</v>
      </c>
      <c r="G85" s="39">
        <f t="shared" si="9"/>
        <v>16000000</v>
      </c>
    </row>
    <row r="86" ht="57" spans="1:7">
      <c r="A86" s="14" t="s">
        <v>166</v>
      </c>
      <c r="B86" s="15" t="s">
        <v>114</v>
      </c>
      <c r="C86" s="14"/>
      <c r="D86" s="14"/>
      <c r="E86" s="34"/>
      <c r="F86" s="35">
        <f>SUM(F87:F87)</f>
        <v>0.5</v>
      </c>
      <c r="G86" s="36">
        <f>SUM(G87:G87)</f>
        <v>8000000</v>
      </c>
    </row>
    <row r="87" ht="42.75" spans="1:7">
      <c r="A87" s="16"/>
      <c r="B87" s="10" t="s">
        <v>121</v>
      </c>
      <c r="C87" s="16">
        <v>0.4</v>
      </c>
      <c r="D87" s="16">
        <v>1</v>
      </c>
      <c r="E87" s="37">
        <f>$E$4</f>
        <v>40000000</v>
      </c>
      <c r="F87" s="38">
        <v>0.5</v>
      </c>
      <c r="G87" s="39">
        <f t="shared" ref="G87:G92" si="10">C87*E87*F87</f>
        <v>8000000</v>
      </c>
    </row>
    <row r="88" ht="256.5" spans="1:7">
      <c r="A88" s="14">
        <v>4.3</v>
      </c>
      <c r="B88" s="15" t="s">
        <v>276</v>
      </c>
      <c r="C88" s="16"/>
      <c r="D88" s="16"/>
      <c r="E88" s="31"/>
      <c r="F88" s="40">
        <f>SUM(F89,F91)</f>
        <v>1</v>
      </c>
      <c r="G88" s="36">
        <f>SUM(G89,G91)</f>
        <v>24000000</v>
      </c>
    </row>
    <row r="89" ht="57" spans="1:7">
      <c r="A89" s="14" t="s">
        <v>168</v>
      </c>
      <c r="B89" s="15" t="s">
        <v>111</v>
      </c>
      <c r="C89" s="14"/>
      <c r="D89" s="14"/>
      <c r="E89" s="34"/>
      <c r="F89" s="35">
        <f>F90</f>
        <v>0.5</v>
      </c>
      <c r="G89" s="36">
        <f>G90</f>
        <v>16000000</v>
      </c>
    </row>
    <row r="90" ht="42.75" spans="1:7">
      <c r="A90" s="16"/>
      <c r="B90" s="10" t="str">
        <f>B85</f>
        <v>PGS. TS. Hà Thị Hằng</v>
      </c>
      <c r="C90" s="16">
        <v>0.8</v>
      </c>
      <c r="D90" s="16">
        <v>1</v>
      </c>
      <c r="E90" s="37">
        <f>$E$4</f>
        <v>40000000</v>
      </c>
      <c r="F90" s="38">
        <v>0.5</v>
      </c>
      <c r="G90" s="39">
        <f t="shared" si="10"/>
        <v>16000000</v>
      </c>
    </row>
    <row r="91" ht="57" spans="1:7">
      <c r="A91" s="14" t="s">
        <v>169</v>
      </c>
      <c r="B91" s="15" t="s">
        <v>114</v>
      </c>
      <c r="C91" s="14"/>
      <c r="D91" s="14"/>
      <c r="E91" s="34"/>
      <c r="F91" s="35">
        <f>SUM(F92:F92)</f>
        <v>0.5</v>
      </c>
      <c r="G91" s="36">
        <f>SUM(G92:G92)</f>
        <v>8000000</v>
      </c>
    </row>
    <row r="92" ht="42.75" spans="1:7">
      <c r="A92" s="16"/>
      <c r="B92" s="10" t="s">
        <v>129</v>
      </c>
      <c r="C92" s="16">
        <v>0.4</v>
      </c>
      <c r="D92" s="16">
        <v>1</v>
      </c>
      <c r="E92" s="37">
        <f>$E$4</f>
        <v>40000000</v>
      </c>
      <c r="F92" s="38">
        <v>0.5</v>
      </c>
      <c r="G92" s="39">
        <f t="shared" si="10"/>
        <v>8000000</v>
      </c>
    </row>
    <row r="93" ht="342" spans="1:7">
      <c r="A93" s="11">
        <v>5</v>
      </c>
      <c r="B93" s="12" t="s">
        <v>277</v>
      </c>
      <c r="C93" s="13"/>
      <c r="D93" s="13"/>
      <c r="E93" s="28"/>
      <c r="F93" s="29"/>
      <c r="G93" s="30">
        <f>G94+G99+G106+G113+G118</f>
        <v>140000000</v>
      </c>
    </row>
    <row r="94" ht="299.25" spans="1:7">
      <c r="A94" s="14">
        <v>5.1</v>
      </c>
      <c r="B94" s="15" t="s">
        <v>278</v>
      </c>
      <c r="C94" s="16"/>
      <c r="D94" s="16"/>
      <c r="E94" s="31"/>
      <c r="F94" s="40">
        <f>SUM(F95,F97)</f>
        <v>1</v>
      </c>
      <c r="G94" s="36">
        <f>SUM(G95,G97)</f>
        <v>24000000</v>
      </c>
    </row>
    <row r="95" ht="57" spans="1:7">
      <c r="A95" s="14" t="s">
        <v>172</v>
      </c>
      <c r="B95" s="15" t="s">
        <v>111</v>
      </c>
      <c r="C95" s="14"/>
      <c r="D95" s="14"/>
      <c r="E95" s="34"/>
      <c r="F95" s="35">
        <f>F96</f>
        <v>0.5</v>
      </c>
      <c r="G95" s="36">
        <f>G96</f>
        <v>16000000</v>
      </c>
    </row>
    <row r="96" ht="42.75" spans="1:7">
      <c r="A96" s="16"/>
      <c r="B96" s="10" t="s">
        <v>129</v>
      </c>
      <c r="C96" s="16">
        <v>0.8</v>
      </c>
      <c r="D96" s="16">
        <v>1</v>
      </c>
      <c r="E96" s="37">
        <f>$E$4</f>
        <v>40000000</v>
      </c>
      <c r="F96" s="38">
        <v>0.5</v>
      </c>
      <c r="G96" s="39">
        <f t="shared" ref="G96:G101" si="11">C96*E96*F96</f>
        <v>16000000</v>
      </c>
    </row>
    <row r="97" ht="57" spans="1:7">
      <c r="A97" s="14" t="s">
        <v>173</v>
      </c>
      <c r="B97" s="15" t="s">
        <v>114</v>
      </c>
      <c r="C97" s="14"/>
      <c r="D97" s="14"/>
      <c r="E97" s="34"/>
      <c r="F97" s="35">
        <f>SUM(F98:F98)</f>
        <v>0.5</v>
      </c>
      <c r="G97" s="36">
        <f>SUM(G98:G98)</f>
        <v>8000000</v>
      </c>
    </row>
    <row r="98" ht="57" spans="1:7">
      <c r="A98" s="16"/>
      <c r="B98" s="10" t="s">
        <v>122</v>
      </c>
      <c r="C98" s="16">
        <v>0.4</v>
      </c>
      <c r="D98" s="16">
        <v>1</v>
      </c>
      <c r="E98" s="37">
        <f>$E$4</f>
        <v>40000000</v>
      </c>
      <c r="F98" s="38">
        <v>0.5</v>
      </c>
      <c r="G98" s="39">
        <f t="shared" si="11"/>
        <v>8000000</v>
      </c>
    </row>
    <row r="99" ht="199.5" spans="1:7">
      <c r="A99" s="14">
        <v>5.2</v>
      </c>
      <c r="B99" s="15" t="s">
        <v>279</v>
      </c>
      <c r="C99" s="16"/>
      <c r="D99" s="16"/>
      <c r="E99" s="31"/>
      <c r="F99" s="40">
        <f>SUM(F100,F102,F104)</f>
        <v>2</v>
      </c>
      <c r="G99" s="36">
        <f>SUM(G100,G102,G104)</f>
        <v>36000000</v>
      </c>
    </row>
    <row r="100" ht="57" spans="1:7">
      <c r="A100" s="14" t="s">
        <v>175</v>
      </c>
      <c r="B100" s="15" t="s">
        <v>111</v>
      </c>
      <c r="C100" s="14"/>
      <c r="D100" s="14"/>
      <c r="E100" s="34"/>
      <c r="F100" s="35">
        <f>F101</f>
        <v>0.5</v>
      </c>
      <c r="G100" s="36">
        <f>G101</f>
        <v>16000000</v>
      </c>
    </row>
    <row r="101" ht="42.75" spans="1:7">
      <c r="A101" s="16"/>
      <c r="B101" s="10" t="str">
        <f>B96</f>
        <v>TS. Bùi Duy Quỳnh</v>
      </c>
      <c r="C101" s="16">
        <v>0.8</v>
      </c>
      <c r="D101" s="16">
        <v>1</v>
      </c>
      <c r="E101" s="37">
        <f>$E$4</f>
        <v>40000000</v>
      </c>
      <c r="F101" s="38">
        <v>0.5</v>
      </c>
      <c r="G101" s="39">
        <f t="shared" si="11"/>
        <v>16000000</v>
      </c>
    </row>
    <row r="102" ht="57" spans="1:7">
      <c r="A102" s="14" t="s">
        <v>176</v>
      </c>
      <c r="B102" s="15" t="s">
        <v>114</v>
      </c>
      <c r="C102" s="14"/>
      <c r="D102" s="14"/>
      <c r="E102" s="34"/>
      <c r="F102" s="35">
        <f>SUM(F103:F103)</f>
        <v>1</v>
      </c>
      <c r="G102" s="36">
        <f>SUM(G103:G103)</f>
        <v>16000000</v>
      </c>
    </row>
    <row r="103" ht="57" spans="1:7">
      <c r="A103" s="16"/>
      <c r="B103" s="10" t="s">
        <v>115</v>
      </c>
      <c r="C103" s="16">
        <v>0.4</v>
      </c>
      <c r="D103" s="16">
        <v>1</v>
      </c>
      <c r="E103" s="37">
        <f>$E$4</f>
        <v>40000000</v>
      </c>
      <c r="F103" s="38">
        <v>1</v>
      </c>
      <c r="G103" s="39">
        <f t="shared" ref="G103:G108" si="12">C103*E103*F103</f>
        <v>16000000</v>
      </c>
    </row>
    <row r="104" ht="85.5" spans="1:7">
      <c r="A104" s="14" t="s">
        <v>177</v>
      </c>
      <c r="B104" s="15" t="s">
        <v>131</v>
      </c>
      <c r="C104" s="14"/>
      <c r="D104" s="14"/>
      <c r="E104" s="34"/>
      <c r="F104" s="35">
        <f>SUM(F105:F105)</f>
        <v>0.5</v>
      </c>
      <c r="G104" s="36">
        <f>SUM(G105:G105)</f>
        <v>4000000</v>
      </c>
    </row>
    <row r="105" ht="42.75" spans="1:7">
      <c r="A105" s="16"/>
      <c r="B105" s="10" t="s">
        <v>116</v>
      </c>
      <c r="C105" s="16">
        <v>0.2</v>
      </c>
      <c r="D105" s="16">
        <v>1</v>
      </c>
      <c r="E105" s="37">
        <f>$E$4</f>
        <v>40000000</v>
      </c>
      <c r="F105" s="38">
        <v>0.5</v>
      </c>
      <c r="G105" s="39">
        <f t="shared" si="12"/>
        <v>4000000</v>
      </c>
    </row>
    <row r="106" ht="270.75" spans="1:7">
      <c r="A106" s="14">
        <v>5.3</v>
      </c>
      <c r="B106" s="15" t="s">
        <v>280</v>
      </c>
      <c r="C106" s="16"/>
      <c r="D106" s="16"/>
      <c r="E106" s="31"/>
      <c r="F106" s="40">
        <f>SUM(F107,F109,F111)</f>
        <v>1.5</v>
      </c>
      <c r="G106" s="36">
        <f>SUM(G107,G109,G111)</f>
        <v>28000000</v>
      </c>
    </row>
    <row r="107" ht="57" spans="1:7">
      <c r="A107" s="14" t="s">
        <v>179</v>
      </c>
      <c r="B107" s="15" t="s">
        <v>111</v>
      </c>
      <c r="C107" s="14"/>
      <c r="D107" s="14"/>
      <c r="E107" s="34"/>
      <c r="F107" s="35">
        <f>F108</f>
        <v>0.5</v>
      </c>
      <c r="G107" s="36">
        <f>G108</f>
        <v>16000000</v>
      </c>
    </row>
    <row r="108" ht="42.75" spans="1:7">
      <c r="A108" s="16"/>
      <c r="B108" s="10" t="s">
        <v>129</v>
      </c>
      <c r="C108" s="16">
        <v>0.8</v>
      </c>
      <c r="D108" s="16">
        <v>1</v>
      </c>
      <c r="E108" s="37">
        <f>$E$4</f>
        <v>40000000</v>
      </c>
      <c r="F108" s="38">
        <v>0.5</v>
      </c>
      <c r="G108" s="39">
        <f t="shared" si="12"/>
        <v>16000000</v>
      </c>
    </row>
    <row r="109" ht="57" spans="1:7">
      <c r="A109" s="14" t="s">
        <v>180</v>
      </c>
      <c r="B109" s="15" t="s">
        <v>114</v>
      </c>
      <c r="C109" s="14"/>
      <c r="D109" s="14"/>
      <c r="E109" s="34"/>
      <c r="F109" s="35">
        <f>SUM(F110:F110)</f>
        <v>0.5</v>
      </c>
      <c r="G109" s="36">
        <f>SUM(G110:G110)</f>
        <v>8000000</v>
      </c>
    </row>
    <row r="110" ht="57" spans="1:7">
      <c r="A110" s="16"/>
      <c r="B110" s="10" t="s">
        <v>115</v>
      </c>
      <c r="C110" s="16">
        <v>0.4</v>
      </c>
      <c r="D110" s="16">
        <v>1</v>
      </c>
      <c r="E110" s="37">
        <f>$E$4</f>
        <v>40000000</v>
      </c>
      <c r="F110" s="38">
        <v>0.5</v>
      </c>
      <c r="G110" s="39">
        <f t="shared" ref="G110:G115" si="13">C110*E110*F110</f>
        <v>8000000</v>
      </c>
    </row>
    <row r="111" ht="85.5" spans="1:7">
      <c r="A111" s="14" t="s">
        <v>181</v>
      </c>
      <c r="B111" s="15" t="s">
        <v>131</v>
      </c>
      <c r="C111" s="14"/>
      <c r="D111" s="14"/>
      <c r="E111" s="34"/>
      <c r="F111" s="35">
        <f>SUM(F112:F112)</f>
        <v>0.5</v>
      </c>
      <c r="G111" s="36">
        <f>SUM(G112:G112)</f>
        <v>4000000</v>
      </c>
    </row>
    <row r="112" ht="42.75" spans="1:7">
      <c r="A112" s="16"/>
      <c r="B112" s="10" t="s">
        <v>121</v>
      </c>
      <c r="C112" s="16">
        <v>0.2</v>
      </c>
      <c r="D112" s="16">
        <v>1</v>
      </c>
      <c r="E112" s="37">
        <f>$E$4</f>
        <v>40000000</v>
      </c>
      <c r="F112" s="38">
        <v>0.5</v>
      </c>
      <c r="G112" s="39">
        <f t="shared" si="13"/>
        <v>4000000</v>
      </c>
    </row>
    <row r="113" ht="313.5" spans="1:7">
      <c r="A113" s="14">
        <v>5.4</v>
      </c>
      <c r="B113" s="15" t="s">
        <v>281</v>
      </c>
      <c r="C113" s="16"/>
      <c r="D113" s="16"/>
      <c r="E113" s="31"/>
      <c r="F113" s="40">
        <f>SUM(F114,F116)</f>
        <v>1</v>
      </c>
      <c r="G113" s="36">
        <f>SUM(G114,G116)</f>
        <v>24000000</v>
      </c>
    </row>
    <row r="114" ht="57" spans="1:7">
      <c r="A114" s="14" t="s">
        <v>183</v>
      </c>
      <c r="B114" s="15" t="s">
        <v>111</v>
      </c>
      <c r="C114" s="14"/>
      <c r="D114" s="14"/>
      <c r="E114" s="34"/>
      <c r="F114" s="35">
        <f>F115</f>
        <v>0.5</v>
      </c>
      <c r="G114" s="36">
        <f>G115</f>
        <v>16000000</v>
      </c>
    </row>
    <row r="115" ht="42.75" spans="1:7">
      <c r="A115" s="16"/>
      <c r="B115" s="10" t="s">
        <v>129</v>
      </c>
      <c r="C115" s="16">
        <v>0.8</v>
      </c>
      <c r="D115" s="16">
        <v>1</v>
      </c>
      <c r="E115" s="37">
        <f>$E$4</f>
        <v>40000000</v>
      </c>
      <c r="F115" s="38">
        <v>0.5</v>
      </c>
      <c r="G115" s="39">
        <f t="shared" si="13"/>
        <v>16000000</v>
      </c>
    </row>
    <row r="116" ht="57" spans="1:7">
      <c r="A116" s="14" t="s">
        <v>184</v>
      </c>
      <c r="B116" s="15" t="s">
        <v>114</v>
      </c>
      <c r="C116" s="14"/>
      <c r="D116" s="14"/>
      <c r="E116" s="34"/>
      <c r="F116" s="35">
        <f>SUM(F117:F117)</f>
        <v>0.5</v>
      </c>
      <c r="G116" s="36">
        <f>SUM(G117:G117)</f>
        <v>8000000</v>
      </c>
    </row>
    <row r="117" ht="57" spans="1:7">
      <c r="A117" s="16"/>
      <c r="B117" s="10" t="s">
        <v>122</v>
      </c>
      <c r="C117" s="16">
        <v>0.4</v>
      </c>
      <c r="D117" s="16">
        <v>1</v>
      </c>
      <c r="E117" s="37">
        <f>$E$4</f>
        <v>40000000</v>
      </c>
      <c r="F117" s="38">
        <v>0.5</v>
      </c>
      <c r="G117" s="39">
        <f t="shared" ref="G117:G122" si="14">C117*E117*F117</f>
        <v>8000000</v>
      </c>
    </row>
    <row r="118" ht="399" spans="1:7">
      <c r="A118" s="14">
        <v>5.5</v>
      </c>
      <c r="B118" s="15" t="s">
        <v>282</v>
      </c>
      <c r="C118" s="16"/>
      <c r="D118" s="16"/>
      <c r="E118" s="31"/>
      <c r="F118" s="40">
        <f>SUM(F119,F121,F123)</f>
        <v>1.5</v>
      </c>
      <c r="G118" s="36">
        <f>SUM(G119,G121,G123)</f>
        <v>28000000</v>
      </c>
    </row>
    <row r="119" ht="57" spans="1:7">
      <c r="A119" s="14" t="s">
        <v>186</v>
      </c>
      <c r="B119" s="15" t="s">
        <v>111</v>
      </c>
      <c r="C119" s="14"/>
      <c r="D119" s="14"/>
      <c r="E119" s="34"/>
      <c r="F119" s="35">
        <f>F120</f>
        <v>0.5</v>
      </c>
      <c r="G119" s="36">
        <f>G120</f>
        <v>16000000</v>
      </c>
    </row>
    <row r="120" ht="42.75" spans="1:7">
      <c r="A120" s="16"/>
      <c r="B120" s="10" t="str">
        <f>B115</f>
        <v>TS. Bùi Duy Quỳnh</v>
      </c>
      <c r="C120" s="16">
        <v>0.8</v>
      </c>
      <c r="D120" s="16">
        <v>1</v>
      </c>
      <c r="E120" s="37">
        <f>$E$4</f>
        <v>40000000</v>
      </c>
      <c r="F120" s="38">
        <v>0.5</v>
      </c>
      <c r="G120" s="39">
        <f t="shared" si="14"/>
        <v>16000000</v>
      </c>
    </row>
    <row r="121" ht="57" spans="1:7">
      <c r="A121" s="14" t="s">
        <v>187</v>
      </c>
      <c r="B121" s="15" t="s">
        <v>114</v>
      </c>
      <c r="C121" s="14"/>
      <c r="D121" s="14"/>
      <c r="E121" s="34"/>
      <c r="F121" s="35">
        <f>SUM(F122:F122)</f>
        <v>0.5</v>
      </c>
      <c r="G121" s="36">
        <f>SUM(G122:G122)</f>
        <v>8000000</v>
      </c>
    </row>
    <row r="122" ht="57" spans="1:7">
      <c r="A122" s="16"/>
      <c r="B122" s="10" t="s">
        <v>122</v>
      </c>
      <c r="C122" s="16">
        <v>0.4</v>
      </c>
      <c r="D122" s="16">
        <v>1</v>
      </c>
      <c r="E122" s="37">
        <f>$E$4</f>
        <v>40000000</v>
      </c>
      <c r="F122" s="38">
        <v>0.5</v>
      </c>
      <c r="G122" s="39">
        <f t="shared" si="14"/>
        <v>8000000</v>
      </c>
    </row>
    <row r="123" ht="85.5" spans="1:7">
      <c r="A123" s="14" t="s">
        <v>188</v>
      </c>
      <c r="B123" s="15" t="s">
        <v>131</v>
      </c>
      <c r="C123" s="14"/>
      <c r="D123" s="14"/>
      <c r="E123" s="34"/>
      <c r="F123" s="35">
        <f>SUM(F124:F124)</f>
        <v>0.5</v>
      </c>
      <c r="G123" s="36">
        <f>SUM(G124:G124)</f>
        <v>4000000</v>
      </c>
    </row>
    <row r="124" ht="42.75" spans="1:7">
      <c r="A124" s="16"/>
      <c r="B124" s="10" t="s">
        <v>116</v>
      </c>
      <c r="C124" s="16">
        <v>0.2</v>
      </c>
      <c r="D124" s="16">
        <v>1</v>
      </c>
      <c r="E124" s="37">
        <f>$E$4</f>
        <v>40000000</v>
      </c>
      <c r="F124" s="38">
        <v>0.5</v>
      </c>
      <c r="G124" s="39">
        <f>C124*E124*F124</f>
        <v>4000000</v>
      </c>
    </row>
    <row r="125" ht="327.75" spans="1:7">
      <c r="A125" s="11">
        <v>6</v>
      </c>
      <c r="B125" s="12" t="s">
        <v>189</v>
      </c>
      <c r="C125" s="13"/>
      <c r="D125" s="13"/>
      <c r="E125" s="28"/>
      <c r="F125" s="29"/>
      <c r="G125" s="30">
        <f>G126+G135+G140+G149+G157</f>
        <v>236000000</v>
      </c>
    </row>
    <row r="126" ht="299.25" spans="1:7">
      <c r="A126" s="14">
        <v>6.1</v>
      </c>
      <c r="B126" s="15" t="s">
        <v>283</v>
      </c>
      <c r="C126" s="16"/>
      <c r="D126" s="16"/>
      <c r="E126" s="31"/>
      <c r="F126" s="40">
        <f>SUM(F127,F129,F132)</f>
        <v>2.5</v>
      </c>
      <c r="G126" s="36">
        <f>SUM(G127,G129,G132)</f>
        <v>40000000</v>
      </c>
    </row>
    <row r="127" ht="57" spans="1:7">
      <c r="A127" s="14" t="s">
        <v>191</v>
      </c>
      <c r="B127" s="15" t="s">
        <v>111</v>
      </c>
      <c r="C127" s="14"/>
      <c r="D127" s="14"/>
      <c r="E127" s="34"/>
      <c r="F127" s="35">
        <f>F128</f>
        <v>0.5</v>
      </c>
      <c r="G127" s="36">
        <f>G128</f>
        <v>16000000</v>
      </c>
    </row>
    <row r="128" ht="57" spans="1:7">
      <c r="A128" s="16"/>
      <c r="B128" s="10" t="s">
        <v>192</v>
      </c>
      <c r="C128" s="16">
        <v>0.8</v>
      </c>
      <c r="D128" s="16">
        <v>1</v>
      </c>
      <c r="E128" s="37">
        <f>$E$4</f>
        <v>40000000</v>
      </c>
      <c r="F128" s="38">
        <v>0.5</v>
      </c>
      <c r="G128" s="39">
        <f t="shared" ref="G128:G131" si="15">C128*E128*F128</f>
        <v>16000000</v>
      </c>
    </row>
    <row r="129" ht="57" spans="1:7">
      <c r="A129" s="14" t="s">
        <v>193</v>
      </c>
      <c r="B129" s="15" t="s">
        <v>114</v>
      </c>
      <c r="C129" s="14"/>
      <c r="D129" s="14"/>
      <c r="E129" s="34"/>
      <c r="F129" s="35">
        <f>SUM(F130:F131)</f>
        <v>1</v>
      </c>
      <c r="G129" s="36">
        <f>SUM(G130:G131)</f>
        <v>16000000</v>
      </c>
    </row>
    <row r="130" ht="57" spans="1:7">
      <c r="A130" s="16"/>
      <c r="B130" s="10" t="s">
        <v>115</v>
      </c>
      <c r="C130" s="16">
        <v>0.4</v>
      </c>
      <c r="D130" s="16">
        <v>1</v>
      </c>
      <c r="E130" s="37">
        <f>$E$4</f>
        <v>40000000</v>
      </c>
      <c r="F130" s="38">
        <v>0.5</v>
      </c>
      <c r="G130" s="39">
        <f t="shared" si="15"/>
        <v>8000000</v>
      </c>
    </row>
    <row r="131" ht="42.75" spans="1:7">
      <c r="A131" s="16"/>
      <c r="B131" s="10" t="s">
        <v>129</v>
      </c>
      <c r="C131" s="16">
        <v>0.4</v>
      </c>
      <c r="D131" s="16">
        <v>1</v>
      </c>
      <c r="E131" s="37">
        <f>$E$4</f>
        <v>40000000</v>
      </c>
      <c r="F131" s="38">
        <v>0.5</v>
      </c>
      <c r="G131" s="39">
        <f t="shared" si="15"/>
        <v>8000000</v>
      </c>
    </row>
    <row r="132" ht="85.5" spans="1:7">
      <c r="A132" s="14" t="s">
        <v>194</v>
      </c>
      <c r="B132" s="15" t="s">
        <v>131</v>
      </c>
      <c r="C132" s="14"/>
      <c r="D132" s="14"/>
      <c r="E132" s="34"/>
      <c r="F132" s="35">
        <f>SUM(F133:F134)</f>
        <v>1</v>
      </c>
      <c r="G132" s="36">
        <f>SUM(G133:G134)</f>
        <v>8000000</v>
      </c>
    </row>
    <row r="133" ht="42.75" spans="1:7">
      <c r="A133" s="16"/>
      <c r="B133" s="10" t="s">
        <v>121</v>
      </c>
      <c r="C133" s="16">
        <v>0.2</v>
      </c>
      <c r="D133" s="16">
        <v>1</v>
      </c>
      <c r="E133" s="37">
        <f>$E$4</f>
        <v>40000000</v>
      </c>
      <c r="F133" s="38">
        <v>0.5</v>
      </c>
      <c r="G133" s="39">
        <f t="shared" ref="G133:G137" si="16">C133*E133*F133</f>
        <v>4000000</v>
      </c>
    </row>
    <row r="134" ht="42.75" spans="1:7">
      <c r="A134" s="16"/>
      <c r="B134" s="10" t="s">
        <v>116</v>
      </c>
      <c r="C134" s="16">
        <v>0.2</v>
      </c>
      <c r="D134" s="16">
        <v>1</v>
      </c>
      <c r="E134" s="37">
        <f>$E$4</f>
        <v>40000000</v>
      </c>
      <c r="F134" s="38">
        <v>0.5</v>
      </c>
      <c r="G134" s="39">
        <f t="shared" si="16"/>
        <v>4000000</v>
      </c>
    </row>
    <row r="135" ht="384.75" spans="1:7">
      <c r="A135" s="14">
        <v>6.2</v>
      </c>
      <c r="B135" s="15" t="s">
        <v>284</v>
      </c>
      <c r="C135" s="16"/>
      <c r="D135" s="16"/>
      <c r="E135" s="31"/>
      <c r="F135" s="40">
        <f>SUM(F136,F138)</f>
        <v>1</v>
      </c>
      <c r="G135" s="36">
        <f>SUM(G136,G138)</f>
        <v>24000000</v>
      </c>
    </row>
    <row r="136" ht="57" spans="1:7">
      <c r="A136" s="14" t="s">
        <v>196</v>
      </c>
      <c r="B136" s="15" t="s">
        <v>111</v>
      </c>
      <c r="C136" s="14"/>
      <c r="D136" s="14"/>
      <c r="E136" s="34"/>
      <c r="F136" s="35">
        <f>F137</f>
        <v>0.5</v>
      </c>
      <c r="G136" s="36">
        <f>G137</f>
        <v>16000000</v>
      </c>
    </row>
    <row r="137" ht="57" spans="1:7">
      <c r="A137" s="16"/>
      <c r="B137" s="10" t="str">
        <f>B128</f>
        <v>PGS. TS. Lưu Thị Diệu Chinh</v>
      </c>
      <c r="C137" s="16">
        <v>0.8</v>
      </c>
      <c r="D137" s="16">
        <v>1</v>
      </c>
      <c r="E137" s="37">
        <f>$E$4</f>
        <v>40000000</v>
      </c>
      <c r="F137" s="38">
        <v>0.5</v>
      </c>
      <c r="G137" s="39">
        <f t="shared" si="16"/>
        <v>16000000</v>
      </c>
    </row>
    <row r="138" ht="57" spans="1:7">
      <c r="A138" s="14" t="s">
        <v>197</v>
      </c>
      <c r="B138" s="15" t="s">
        <v>114</v>
      </c>
      <c r="C138" s="14"/>
      <c r="D138" s="14"/>
      <c r="E138" s="34"/>
      <c r="F138" s="35">
        <f>SUM(F139:F139)</f>
        <v>0.5</v>
      </c>
      <c r="G138" s="36">
        <f>SUM(G139:G139)</f>
        <v>8000000</v>
      </c>
    </row>
    <row r="139" ht="42.75" spans="1:7">
      <c r="A139" s="16"/>
      <c r="B139" s="10" t="s">
        <v>129</v>
      </c>
      <c r="C139" s="16">
        <v>0.4</v>
      </c>
      <c r="D139" s="16">
        <v>1</v>
      </c>
      <c r="E139" s="37">
        <f>$E$4</f>
        <v>40000000</v>
      </c>
      <c r="F139" s="38">
        <v>0.5</v>
      </c>
      <c r="G139" s="39">
        <f t="shared" ref="G139:G145" si="17">C139*E139*F139</f>
        <v>8000000</v>
      </c>
    </row>
    <row r="140" ht="242.25" spans="1:7">
      <c r="A140" s="14">
        <v>6.3</v>
      </c>
      <c r="B140" s="15" t="s">
        <v>285</v>
      </c>
      <c r="C140" s="16"/>
      <c r="D140" s="16"/>
      <c r="E140" s="31"/>
      <c r="F140" s="40">
        <f>SUM(F141,F143,F146)</f>
        <v>3.5</v>
      </c>
      <c r="G140" s="36">
        <f>SUM(G141,G143,G146)</f>
        <v>60000000</v>
      </c>
    </row>
    <row r="141" ht="57" spans="1:7">
      <c r="A141" s="14" t="s">
        <v>199</v>
      </c>
      <c r="B141" s="15" t="s">
        <v>111</v>
      </c>
      <c r="C141" s="14"/>
      <c r="D141" s="14"/>
      <c r="E141" s="34"/>
      <c r="F141" s="35">
        <f>F142</f>
        <v>1</v>
      </c>
      <c r="G141" s="36">
        <f>G142</f>
        <v>32000000</v>
      </c>
    </row>
    <row r="142" ht="57" spans="1:7">
      <c r="A142" s="16"/>
      <c r="B142" s="10" t="s">
        <v>128</v>
      </c>
      <c r="C142" s="16">
        <v>0.8</v>
      </c>
      <c r="D142" s="16">
        <v>1</v>
      </c>
      <c r="E142" s="37">
        <f>$E$4</f>
        <v>40000000</v>
      </c>
      <c r="F142" s="38">
        <v>1</v>
      </c>
      <c r="G142" s="39">
        <f t="shared" si="17"/>
        <v>32000000</v>
      </c>
    </row>
    <row r="143" ht="57" spans="1:7">
      <c r="A143" s="14" t="s">
        <v>200</v>
      </c>
      <c r="B143" s="15" t="s">
        <v>114</v>
      </c>
      <c r="C143" s="14"/>
      <c r="D143" s="14"/>
      <c r="E143" s="34"/>
      <c r="F143" s="35">
        <f>SUM(F144:F145)</f>
        <v>1</v>
      </c>
      <c r="G143" s="36">
        <f>SUM(G144:G145)</f>
        <v>16000000</v>
      </c>
    </row>
    <row r="144" ht="57" spans="1:7">
      <c r="A144" s="16"/>
      <c r="B144" s="10" t="s">
        <v>122</v>
      </c>
      <c r="C144" s="16">
        <v>0.4</v>
      </c>
      <c r="D144" s="16">
        <v>1</v>
      </c>
      <c r="E144" s="37">
        <f>$E$4</f>
        <v>40000000</v>
      </c>
      <c r="F144" s="38">
        <v>0.5</v>
      </c>
      <c r="G144" s="39">
        <f t="shared" si="17"/>
        <v>8000000</v>
      </c>
    </row>
    <row r="145" ht="57" spans="1:7">
      <c r="A145" s="16"/>
      <c r="B145" s="10" t="s">
        <v>115</v>
      </c>
      <c r="C145" s="16">
        <v>0.4</v>
      </c>
      <c r="D145" s="16">
        <v>1</v>
      </c>
      <c r="E145" s="37">
        <f>$E$4</f>
        <v>40000000</v>
      </c>
      <c r="F145" s="38">
        <v>0.5</v>
      </c>
      <c r="G145" s="39">
        <f t="shared" si="17"/>
        <v>8000000</v>
      </c>
    </row>
    <row r="146" ht="85.5" spans="1:7">
      <c r="A146" s="14" t="s">
        <v>201</v>
      </c>
      <c r="B146" s="15" t="s">
        <v>131</v>
      </c>
      <c r="C146" s="14"/>
      <c r="D146" s="14"/>
      <c r="E146" s="34"/>
      <c r="F146" s="35">
        <f>SUM(F147:F148)</f>
        <v>1.5</v>
      </c>
      <c r="G146" s="36">
        <f>SUM(G147:G148)</f>
        <v>12000000</v>
      </c>
    </row>
    <row r="147" ht="42.75" spans="1:7">
      <c r="A147" s="16"/>
      <c r="B147" s="10" t="s">
        <v>121</v>
      </c>
      <c r="C147" s="16">
        <v>0.2</v>
      </c>
      <c r="D147" s="16">
        <v>1</v>
      </c>
      <c r="E147" s="37">
        <f>$E$4</f>
        <v>40000000</v>
      </c>
      <c r="F147" s="38">
        <v>0.5</v>
      </c>
      <c r="G147" s="39">
        <f t="shared" ref="G147:G151" si="18">C147*E147*F147</f>
        <v>4000000</v>
      </c>
    </row>
    <row r="148" ht="42.75" spans="1:7">
      <c r="A148" s="16"/>
      <c r="B148" s="10" t="s">
        <v>116</v>
      </c>
      <c r="C148" s="16">
        <v>0.2</v>
      </c>
      <c r="D148" s="16">
        <v>1</v>
      </c>
      <c r="E148" s="37">
        <f>$E$4</f>
        <v>40000000</v>
      </c>
      <c r="F148" s="38">
        <v>1</v>
      </c>
      <c r="G148" s="39">
        <f t="shared" si="18"/>
        <v>8000000</v>
      </c>
    </row>
    <row r="149" ht="285" spans="1:7">
      <c r="A149" s="14">
        <v>6.4</v>
      </c>
      <c r="B149" s="15" t="s">
        <v>202</v>
      </c>
      <c r="C149" s="16"/>
      <c r="D149" s="16"/>
      <c r="E149" s="31"/>
      <c r="F149" s="40">
        <f>SUM(F150,F152,F155)</f>
        <v>3.5</v>
      </c>
      <c r="G149" s="36">
        <f>SUM(G150,G152,G155)</f>
        <v>56000000</v>
      </c>
    </row>
    <row r="150" ht="57" spans="1:7">
      <c r="A150" s="14" t="s">
        <v>203</v>
      </c>
      <c r="B150" s="15" t="s">
        <v>111</v>
      </c>
      <c r="C150" s="14"/>
      <c r="D150" s="14"/>
      <c r="E150" s="34"/>
      <c r="F150" s="35">
        <f>F151</f>
        <v>0.5</v>
      </c>
      <c r="G150" s="36">
        <f>G151</f>
        <v>16000000</v>
      </c>
    </row>
    <row r="151" ht="57" spans="1:7">
      <c r="A151" s="16"/>
      <c r="B151" s="10" t="str">
        <f>B142</f>
        <v>PGS.TS. Lưu Thị Diệu Chinh</v>
      </c>
      <c r="C151" s="16">
        <v>0.8</v>
      </c>
      <c r="D151" s="16">
        <v>1</v>
      </c>
      <c r="E151" s="37">
        <f>$E$4</f>
        <v>40000000</v>
      </c>
      <c r="F151" s="38">
        <v>0.5</v>
      </c>
      <c r="G151" s="39">
        <f t="shared" si="18"/>
        <v>16000000</v>
      </c>
    </row>
    <row r="152" ht="57" spans="1:7">
      <c r="A152" s="14" t="s">
        <v>204</v>
      </c>
      <c r="B152" s="15" t="s">
        <v>114</v>
      </c>
      <c r="C152" s="14"/>
      <c r="D152" s="14"/>
      <c r="E152" s="34"/>
      <c r="F152" s="35">
        <f>SUM(F153:F154)</f>
        <v>2</v>
      </c>
      <c r="G152" s="36">
        <f>SUM(G153:G154)</f>
        <v>32000000</v>
      </c>
    </row>
    <row r="153" ht="57" spans="1:7">
      <c r="A153" s="16"/>
      <c r="B153" s="10" t="s">
        <v>205</v>
      </c>
      <c r="C153" s="16">
        <v>0.4</v>
      </c>
      <c r="D153" s="16">
        <v>1</v>
      </c>
      <c r="E153" s="37">
        <f>$E$4</f>
        <v>40000000</v>
      </c>
      <c r="F153" s="38">
        <v>1</v>
      </c>
      <c r="G153" s="39">
        <f t="shared" ref="G153:G156" si="19">C153*E153*F153</f>
        <v>16000000</v>
      </c>
    </row>
    <row r="154" ht="42.75" spans="1:7">
      <c r="A154" s="16"/>
      <c r="B154" s="10" t="s">
        <v>112</v>
      </c>
      <c r="C154" s="16">
        <v>0.4</v>
      </c>
      <c r="D154" s="16">
        <v>1</v>
      </c>
      <c r="E154" s="37">
        <f>$E$4</f>
        <v>40000000</v>
      </c>
      <c r="F154" s="38">
        <v>1</v>
      </c>
      <c r="G154" s="39">
        <f t="shared" si="19"/>
        <v>16000000</v>
      </c>
    </row>
    <row r="155" ht="85.5" spans="1:7">
      <c r="A155" s="14" t="s">
        <v>206</v>
      </c>
      <c r="B155" s="15" t="s">
        <v>131</v>
      </c>
      <c r="C155" s="14"/>
      <c r="D155" s="14"/>
      <c r="E155" s="34"/>
      <c r="F155" s="35">
        <f>SUM(F156:F156)</f>
        <v>1</v>
      </c>
      <c r="G155" s="36">
        <f>SUM(G156:G156)</f>
        <v>8000000</v>
      </c>
    </row>
    <row r="156" ht="42.75" spans="1:7">
      <c r="A156" s="16"/>
      <c r="B156" s="10" t="s">
        <v>121</v>
      </c>
      <c r="C156" s="16">
        <v>0.2</v>
      </c>
      <c r="D156" s="16">
        <v>1</v>
      </c>
      <c r="E156" s="37">
        <f>$E$4</f>
        <v>40000000</v>
      </c>
      <c r="F156" s="38">
        <v>1</v>
      </c>
      <c r="G156" s="39">
        <f t="shared" si="19"/>
        <v>8000000</v>
      </c>
    </row>
    <row r="157" ht="270.75" spans="1:7">
      <c r="A157" s="14">
        <v>6.5</v>
      </c>
      <c r="B157" s="15" t="s">
        <v>207</v>
      </c>
      <c r="C157" s="16"/>
      <c r="D157" s="16"/>
      <c r="E157" s="31"/>
      <c r="F157" s="40">
        <f>SUM(F158,F160,F164)</f>
        <v>3.5</v>
      </c>
      <c r="G157" s="36">
        <f>SUM(G158,G160,G164)</f>
        <v>56000000</v>
      </c>
    </row>
    <row r="158" ht="57" spans="1:7">
      <c r="A158" s="14" t="s">
        <v>208</v>
      </c>
      <c r="B158" s="15" t="s">
        <v>111</v>
      </c>
      <c r="C158" s="14"/>
      <c r="D158" s="14"/>
      <c r="E158" s="34"/>
      <c r="F158" s="35">
        <f>F159</f>
        <v>0.5</v>
      </c>
      <c r="G158" s="36">
        <f>G159</f>
        <v>16000000</v>
      </c>
    </row>
    <row r="159" ht="57" spans="1:7">
      <c r="A159" s="16"/>
      <c r="B159" s="10" t="str">
        <f>B151</f>
        <v>PGS.TS. Lưu Thị Diệu Chinh</v>
      </c>
      <c r="C159" s="16">
        <v>0.8</v>
      </c>
      <c r="D159" s="16">
        <v>1</v>
      </c>
      <c r="E159" s="37">
        <f>$E$4</f>
        <v>40000000</v>
      </c>
      <c r="F159" s="38">
        <v>0.5</v>
      </c>
      <c r="G159" s="39">
        <f t="shared" ref="G159:G163" si="20">C159*E159*F159</f>
        <v>16000000</v>
      </c>
    </row>
    <row r="160" ht="57" spans="1:7">
      <c r="A160" s="14" t="s">
        <v>209</v>
      </c>
      <c r="B160" s="15" t="s">
        <v>114</v>
      </c>
      <c r="C160" s="14"/>
      <c r="D160" s="14"/>
      <c r="E160" s="34"/>
      <c r="F160" s="35">
        <f>SUM(F161:F163)</f>
        <v>2</v>
      </c>
      <c r="G160" s="36">
        <f>SUM(G161:G163)</f>
        <v>32000000</v>
      </c>
    </row>
    <row r="161" ht="57" spans="1:7">
      <c r="A161" s="16"/>
      <c r="B161" s="10" t="s">
        <v>205</v>
      </c>
      <c r="C161" s="16">
        <v>0.4</v>
      </c>
      <c r="D161" s="16">
        <v>1</v>
      </c>
      <c r="E161" s="37">
        <f>$E$4</f>
        <v>40000000</v>
      </c>
      <c r="F161" s="38">
        <v>0.5</v>
      </c>
      <c r="G161" s="39">
        <f t="shared" si="20"/>
        <v>8000000</v>
      </c>
    </row>
    <row r="162" ht="42.75" spans="1:7">
      <c r="A162" s="16"/>
      <c r="B162" s="10" t="s">
        <v>129</v>
      </c>
      <c r="C162" s="16">
        <v>0.4</v>
      </c>
      <c r="D162" s="16">
        <v>1</v>
      </c>
      <c r="E162" s="37">
        <f>$E$4</f>
        <v>40000000</v>
      </c>
      <c r="F162" s="38">
        <v>0.5</v>
      </c>
      <c r="G162" s="39">
        <f t="shared" si="20"/>
        <v>8000000</v>
      </c>
    </row>
    <row r="163" ht="57" spans="1:7">
      <c r="A163" s="16"/>
      <c r="B163" s="10" t="s">
        <v>122</v>
      </c>
      <c r="C163" s="16">
        <v>0.4</v>
      </c>
      <c r="D163" s="16">
        <v>1</v>
      </c>
      <c r="E163" s="37">
        <f>$E$4</f>
        <v>40000000</v>
      </c>
      <c r="F163" s="38">
        <v>1</v>
      </c>
      <c r="G163" s="39">
        <f t="shared" si="20"/>
        <v>16000000</v>
      </c>
    </row>
    <row r="164" ht="85.5" spans="1:7">
      <c r="A164" s="14" t="s">
        <v>210</v>
      </c>
      <c r="B164" s="15" t="s">
        <v>131</v>
      </c>
      <c r="C164" s="14"/>
      <c r="D164" s="14"/>
      <c r="E164" s="34"/>
      <c r="F164" s="35">
        <f>SUM(F165:F166)</f>
        <v>1</v>
      </c>
      <c r="G164" s="36">
        <f>SUM(G165:G166)</f>
        <v>8000000</v>
      </c>
    </row>
    <row r="165" ht="42.75" spans="1:7">
      <c r="A165" s="16"/>
      <c r="B165" s="10" t="s">
        <v>121</v>
      </c>
      <c r="C165" s="16">
        <v>0.2</v>
      </c>
      <c r="D165" s="16">
        <v>1</v>
      </c>
      <c r="E165" s="37">
        <f>$E$4</f>
        <v>40000000</v>
      </c>
      <c r="F165" s="38">
        <v>0.5</v>
      </c>
      <c r="G165" s="39">
        <f t="shared" ref="G165:G168" si="21">C165*E165*F165</f>
        <v>4000000</v>
      </c>
    </row>
    <row r="166" ht="42.75" spans="1:7">
      <c r="A166" s="16"/>
      <c r="B166" s="10" t="s">
        <v>116</v>
      </c>
      <c r="C166" s="16">
        <v>0.2</v>
      </c>
      <c r="D166" s="16">
        <v>1</v>
      </c>
      <c r="E166" s="37">
        <f>$E$4</f>
        <v>40000000</v>
      </c>
      <c r="F166" s="38">
        <v>0.5</v>
      </c>
      <c r="G166" s="39">
        <f t="shared" si="21"/>
        <v>4000000</v>
      </c>
    </row>
    <row r="167" ht="57" spans="1:7">
      <c r="A167" s="7">
        <v>7</v>
      </c>
      <c r="B167" s="9" t="s">
        <v>211</v>
      </c>
      <c r="C167" s="10"/>
      <c r="D167" s="10"/>
      <c r="E167" s="10"/>
      <c r="F167" s="43"/>
      <c r="G167" s="44">
        <f>G168</f>
        <v>288000000</v>
      </c>
    </row>
    <row r="168" ht="42.75" spans="1:7">
      <c r="A168" s="7"/>
      <c r="B168" s="10" t="s">
        <v>112</v>
      </c>
      <c r="C168" s="10">
        <v>1</v>
      </c>
      <c r="D168" s="10">
        <v>1</v>
      </c>
      <c r="E168" s="45">
        <f>$E$4</f>
        <v>40000000</v>
      </c>
      <c r="F168" s="38">
        <f>20%*36</f>
        <v>7.2</v>
      </c>
      <c r="G168" s="45">
        <f t="shared" si="21"/>
        <v>288000000</v>
      </c>
    </row>
    <row r="169" ht="64.5" spans="1:7">
      <c r="A169" s="7"/>
      <c r="B169" s="10" t="s">
        <v>212</v>
      </c>
      <c r="C169" s="9"/>
      <c r="D169" s="9"/>
      <c r="E169" s="44"/>
      <c r="F169" s="24" t="s">
        <v>213</v>
      </c>
      <c r="G169" s="44"/>
    </row>
    <row r="170" ht="57" spans="1:7">
      <c r="A170" s="7">
        <v>8</v>
      </c>
      <c r="B170" s="9" t="s">
        <v>214</v>
      </c>
      <c r="C170" s="10"/>
      <c r="D170" s="10"/>
      <c r="E170" s="10"/>
      <c r="F170" s="43"/>
      <c r="G170" s="44">
        <f>G171</f>
        <v>86400000</v>
      </c>
    </row>
    <row r="171" ht="57" spans="1:7">
      <c r="A171" s="7"/>
      <c r="B171" s="10" t="s">
        <v>128</v>
      </c>
      <c r="C171" s="10">
        <v>0.3</v>
      </c>
      <c r="D171" s="10">
        <v>1</v>
      </c>
      <c r="E171" s="45">
        <f>$E$4</f>
        <v>40000000</v>
      </c>
      <c r="F171" s="38">
        <f>20%*36</f>
        <v>7.2</v>
      </c>
      <c r="G171" s="45">
        <f>C171*E171*F171</f>
        <v>86400000</v>
      </c>
    </row>
    <row r="172" ht="64.5" spans="1:7">
      <c r="A172" s="7"/>
      <c r="B172" s="10" t="s">
        <v>215</v>
      </c>
      <c r="C172" s="9"/>
      <c r="D172" s="9"/>
      <c r="E172" s="44"/>
      <c r="F172" s="24" t="s">
        <v>213</v>
      </c>
      <c r="G172" s="44"/>
    </row>
    <row r="173" ht="42.75" spans="1:7">
      <c r="A173" s="7" t="s">
        <v>216</v>
      </c>
      <c r="B173" s="9" t="s">
        <v>217</v>
      </c>
      <c r="C173" s="10" t="s">
        <v>218</v>
      </c>
      <c r="D173" s="10"/>
      <c r="E173" s="10"/>
      <c r="F173" s="10"/>
      <c r="G173" s="10"/>
    </row>
    <row r="174" ht="30" spans="1:7">
      <c r="A174" s="41"/>
      <c r="B174" s="42" t="s">
        <v>219</v>
      </c>
      <c r="C174" s="41"/>
      <c r="D174" s="41"/>
      <c r="E174" s="46"/>
      <c r="F174" s="47"/>
      <c r="G174" s="48">
        <f>G8</f>
        <v>1158400000</v>
      </c>
    </row>
  </sheetData>
  <mergeCells count="9">
    <mergeCell ref="A1:G1"/>
    <mergeCell ref="A2:C2"/>
    <mergeCell ref="D2:E2"/>
    <mergeCell ref="F2:G2"/>
    <mergeCell ref="B4:D4"/>
    <mergeCell ref="C7:G7"/>
    <mergeCell ref="C173:G173"/>
    <mergeCell ref="A167:A169"/>
    <mergeCell ref="A170:A172"/>
  </mergeCells>
  <pageMargins left="0.75" right="0.75" top="1" bottom="1" header="0.5" footer="0.5"/>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5">
    <comment s:ref="E4" rgbClr="BABEC0"/>
  </commentList>
  <commentList sheetStid="3">
    <comment s:ref="A2" rgbClr="B0ED20"/>
  </commentList>
  <commentList sheetStid="6">
    <comment s:ref="E4" rgbClr="F72C60"/>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6</vt:i4>
      </vt:variant>
    </vt:vector>
  </HeadingPairs>
  <TitlesOfParts>
    <vt:vector size="6" baseType="lpstr">
      <vt:lpstr>Sheet1</vt:lpstr>
      <vt:lpstr>1.Thulaothamgia_ĐT_36thang</vt:lpstr>
      <vt:lpstr>2.Vattu_Nguyenvatlieu</vt:lpstr>
      <vt:lpstr>4, HThaoKH_CTP_HTQT</vt:lpstr>
      <vt:lpstr>5.DVthuengoai</vt:lpstr>
      <vt:lpstr>Sheet6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Tran-Nam</dc:creator>
  <cp:lastModifiedBy>Hung Tran-Nam</cp:lastModifiedBy>
  <dcterms:created xsi:type="dcterms:W3CDTF">2025-07-22T17:42:00Z</dcterms:created>
  <dcterms:modified xsi:type="dcterms:W3CDTF">2025-07-24T13:50:04Z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